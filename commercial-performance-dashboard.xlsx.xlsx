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Lenovo\Desktop\commercial-due-dilligence\excel\"/>
    </mc:Choice>
  </mc:AlternateContent>
  <xr:revisionPtr revIDLastSave="0" documentId="13_ncr:1_{25E5F655-87B3-49BE-B79B-05C269C6CC6C}" xr6:coauthVersionLast="47" xr6:coauthVersionMax="47" xr10:uidLastSave="{00000000-0000-0000-0000-000000000000}"/>
  <bookViews>
    <workbookView xWindow="-110" yWindow="-110" windowWidth="19420" windowHeight="11500" xr2:uid="{00C9A233-385E-4465-84C8-5B888034240F}"/>
  </bookViews>
  <sheets>
    <sheet name="Cover" sheetId="19" r:id="rId1"/>
    <sheet name="Inputs" sheetId="17" r:id="rId2"/>
    <sheet name="P&amp;L" sheetId="20" r:id="rId3"/>
    <sheet name="Dashboard" sheetId="27" r:id="rId4"/>
    <sheet name="Dashboard 2" sheetId="26" state="hidden" r:id="rId5"/>
    <sheet name="09_unit_economics_diagnostic" sheetId="12" state="hidden" r:id="rId6"/>
    <sheet name="08_discount" sheetId="10" state="hidden" r:id="rId7"/>
    <sheet name="07_profit_analysis" sheetId="9" state="hidden" r:id="rId8"/>
    <sheet name="06_customer_segment_analysis" sheetId="8" state="hidden" r:id="rId9"/>
    <sheet name="05_regional_analysis" sheetId="7" state="hidden" r:id="rId10"/>
    <sheet name="04_product_subcategory_analysis" sheetId="6" state="hidden" r:id="rId11"/>
    <sheet name="03_cateogry_analysis" sheetId="5" state="hidden" r:id="rId12"/>
    <sheet name="02_analysis_time_series" sheetId="4" state="hidden" r:id="rId13"/>
    <sheet name="10_analysis_time_series_categor" sheetId="25" state="hidden" r:id="rId14"/>
    <sheet name="01_data_validation" sheetId="3" state="hidden" r:id="rId15"/>
    <sheet name="processed" sheetId="2" state="hidden" r:id="rId16"/>
    <sheet name="Sheet6" sheetId="18" state="hidden" r:id="rId17"/>
  </sheets>
  <definedNames>
    <definedName name="_xlnm._FilterDatabase" localSheetId="4" hidden="1">'Dashboard 2'!$X$22:$AB$39</definedName>
    <definedName name="_xlchart.v1.0" hidden="1">'Dashboard 2'!$X$68:$X$72</definedName>
    <definedName name="_xlchart.v1.1" hidden="1">'Dashboard 2'!$Y$68:$Y$72</definedName>
    <definedName name="_xlchart.v1.2" hidden="1">'Dashboard 2'!$X$68:$X$72</definedName>
    <definedName name="_xlchart.v1.3" hidden="1">'Dashboard 2'!$Y$68:$Y$72</definedName>
    <definedName name="ExternalData_1" localSheetId="15" hidden="1">processed!$A$1:$G$4</definedName>
    <definedName name="ExternalData_10" localSheetId="5" hidden="1">'09_unit_economics_diagnostic'!$A$1:$J$18</definedName>
    <definedName name="ExternalData_2" localSheetId="14" hidden="1">'01_data_validation'!$A$1:$X$11</definedName>
    <definedName name="ExternalData_3" localSheetId="12" hidden="1">'02_analysis_time_series'!$A$1:$G$5</definedName>
    <definedName name="ExternalData_4" localSheetId="11" hidden="1">'03_cateogry_analysis'!$A$1:$E$4</definedName>
    <definedName name="ExternalData_5" localSheetId="10" hidden="1">'04_product_subcategory_analysis'!$A$1:$F$18</definedName>
    <definedName name="ExternalData_6" localSheetId="9" hidden="1">'05_regional_analysis'!$A$1:$E$14</definedName>
    <definedName name="ExternalData_7" localSheetId="8" hidden="1">'06_customer_segment_analysis'!$A$1:$E$4</definedName>
    <definedName name="ExternalData_8" localSheetId="7" hidden="1">'07_profit_analysis'!$A$1:$G$4</definedName>
    <definedName name="ExternalData_9" localSheetId="6" hidden="1">'08_discount'!$A$1:$A$2</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0" i="27" l="1"/>
  <c r="Y79" i="27"/>
  <c r="Y78" i="27"/>
  <c r="Y77" i="27"/>
  <c r="Y76" i="27"/>
  <c r="Y71" i="27"/>
  <c r="Y70" i="27"/>
  <c r="Y72" i="27" s="1"/>
  <c r="Y69" i="27"/>
  <c r="Y63" i="27"/>
  <c r="X63" i="27"/>
  <c r="Y62" i="27"/>
  <c r="X62" i="27"/>
  <c r="Y61" i="27"/>
  <c r="X61" i="27"/>
  <c r="Z56" i="27"/>
  <c r="Y56" i="27"/>
  <c r="X56" i="27"/>
  <c r="Z55" i="27"/>
  <c r="Y55" i="27"/>
  <c r="X55" i="27"/>
  <c r="Z54" i="27"/>
  <c r="Y54" i="27"/>
  <c r="X54" i="27"/>
  <c r="Z53" i="27"/>
  <c r="Y53" i="27"/>
  <c r="X53" i="27"/>
  <c r="Z52" i="27"/>
  <c r="Y52" i="27"/>
  <c r="X52" i="27"/>
  <c r="Z51" i="27"/>
  <c r="Y51" i="27"/>
  <c r="X51" i="27"/>
  <c r="Z50" i="27"/>
  <c r="Y50" i="27"/>
  <c r="X50" i="27"/>
  <c r="Z49" i="27"/>
  <c r="Y49" i="27"/>
  <c r="X49" i="27"/>
  <c r="Z48" i="27"/>
  <c r="Y48" i="27"/>
  <c r="X48" i="27"/>
  <c r="Z47" i="27"/>
  <c r="Y47" i="27"/>
  <c r="X47" i="27"/>
  <c r="Z46" i="27"/>
  <c r="Y46" i="27"/>
  <c r="X46" i="27"/>
  <c r="Z45" i="27"/>
  <c r="Y45" i="27"/>
  <c r="X45" i="27"/>
  <c r="Z44" i="27"/>
  <c r="Y44" i="27"/>
  <c r="X44" i="27"/>
  <c r="AB39" i="27"/>
  <c r="AA39" i="27"/>
  <c r="Y39" i="27"/>
  <c r="Z39" i="27" s="1"/>
  <c r="X39" i="27"/>
  <c r="AB38" i="27"/>
  <c r="AA38" i="27"/>
  <c r="Y38" i="27"/>
  <c r="Z38" i="27" s="1"/>
  <c r="X38" i="27"/>
  <c r="AB37" i="27"/>
  <c r="AA37" i="27"/>
  <c r="Y37" i="27"/>
  <c r="Z37" i="27" s="1"/>
  <c r="X37" i="27"/>
  <c r="AB36" i="27"/>
  <c r="AA36" i="27"/>
  <c r="Z36" i="27"/>
  <c r="Y36" i="27"/>
  <c r="X36" i="27"/>
  <c r="AB35" i="27"/>
  <c r="AA35" i="27"/>
  <c r="Y35" i="27"/>
  <c r="Z35" i="27" s="1"/>
  <c r="X35" i="27"/>
  <c r="AB34" i="27"/>
  <c r="AA34" i="27"/>
  <c r="Y34" i="27"/>
  <c r="Z34" i="27" s="1"/>
  <c r="X34" i="27"/>
  <c r="AB33" i="27"/>
  <c r="AA33" i="27"/>
  <c r="Y33" i="27"/>
  <c r="Z33" i="27" s="1"/>
  <c r="X33" i="27"/>
  <c r="AB32" i="27"/>
  <c r="AA32" i="27"/>
  <c r="Y32" i="27"/>
  <c r="Z32" i="27" s="1"/>
  <c r="X32" i="27"/>
  <c r="AB31" i="27"/>
  <c r="AA31" i="27"/>
  <c r="Y31" i="27"/>
  <c r="Z31" i="27" s="1"/>
  <c r="X31" i="27"/>
  <c r="AB30" i="27"/>
  <c r="AA30" i="27"/>
  <c r="Y30" i="27"/>
  <c r="Z30" i="27" s="1"/>
  <c r="X30" i="27"/>
  <c r="AB29" i="27"/>
  <c r="AA29" i="27"/>
  <c r="Y29" i="27"/>
  <c r="Z29" i="27" s="1"/>
  <c r="X29" i="27"/>
  <c r="AB28" i="27"/>
  <c r="AA28" i="27"/>
  <c r="Z28" i="27"/>
  <c r="Y28" i="27"/>
  <c r="X28" i="27"/>
  <c r="AB27" i="27"/>
  <c r="AA27" i="27"/>
  <c r="Y27" i="27"/>
  <c r="Z27" i="27" s="1"/>
  <c r="X27" i="27"/>
  <c r="AB26" i="27"/>
  <c r="AA26" i="27"/>
  <c r="Y26" i="27"/>
  <c r="Z26" i="27" s="1"/>
  <c r="X26" i="27"/>
  <c r="AB25" i="27"/>
  <c r="AA25" i="27"/>
  <c r="Y25" i="27"/>
  <c r="Z25" i="27" s="1"/>
  <c r="X25" i="27"/>
  <c r="AB24" i="27"/>
  <c r="AA24" i="27"/>
  <c r="Y24" i="27"/>
  <c r="Z24" i="27" s="1"/>
  <c r="X24" i="27"/>
  <c r="AB23" i="27"/>
  <c r="AA23" i="27"/>
  <c r="Y23" i="27"/>
  <c r="Z23" i="27" s="1"/>
  <c r="X23" i="27"/>
  <c r="AB18" i="27"/>
  <c r="AA18" i="27"/>
  <c r="AB17" i="27"/>
  <c r="AA17" i="27"/>
  <c r="AB16" i="27"/>
  <c r="AA16" i="27"/>
  <c r="AD11" i="27"/>
  <c r="AC11" i="27"/>
  <c r="AB11" i="27"/>
  <c r="AA11" i="27"/>
  <c r="AC9" i="27"/>
  <c r="AD8" i="27"/>
  <c r="AC8" i="27"/>
  <c r="AB8" i="27"/>
  <c r="AA8" i="27"/>
  <c r="AD7" i="27"/>
  <c r="AD9" i="27" s="1"/>
  <c r="AC7" i="27"/>
  <c r="AB7" i="27"/>
  <c r="AB9" i="27" s="1"/>
  <c r="AA7" i="27"/>
  <c r="AD6" i="27"/>
  <c r="AC6" i="27"/>
  <c r="AB6" i="27"/>
  <c r="AA6" i="27"/>
  <c r="AA9" i="27" s="1"/>
  <c r="L14" i="20"/>
  <c r="Y79" i="26"/>
  <c r="Y78" i="26"/>
  <c r="Y77" i="26"/>
  <c r="Y76" i="26"/>
  <c r="Y61" i="26"/>
  <c r="Y62" i="26"/>
  <c r="Y63" i="26"/>
  <c r="Y72" i="26"/>
  <c r="Y71" i="26"/>
  <c r="Y70" i="26"/>
  <c r="Y69" i="26"/>
  <c r="X62" i="26"/>
  <c r="X63" i="26"/>
  <c r="X61" i="26"/>
  <c r="Y45" i="26"/>
  <c r="Y46" i="26"/>
  <c r="Y47" i="26"/>
  <c r="Y48" i="26"/>
  <c r="Y49" i="26"/>
  <c r="Y50" i="26"/>
  <c r="Y51" i="26"/>
  <c r="Y52" i="26"/>
  <c r="Y53" i="26"/>
  <c r="Y54" i="26"/>
  <c r="Y55" i="26"/>
  <c r="Y56" i="26"/>
  <c r="Y44" i="26"/>
  <c r="Z45" i="26"/>
  <c r="Z46" i="26"/>
  <c r="Z47" i="26"/>
  <c r="Z48" i="26"/>
  <c r="Z49" i="26"/>
  <c r="Z50" i="26"/>
  <c r="Z51" i="26"/>
  <c r="Z52" i="26"/>
  <c r="Z53" i="26"/>
  <c r="Z54" i="26"/>
  <c r="Z55" i="26"/>
  <c r="Z56" i="26"/>
  <c r="Z44" i="26"/>
  <c r="X56" i="26"/>
  <c r="X45" i="26"/>
  <c r="X46" i="26"/>
  <c r="X47" i="26"/>
  <c r="X48" i="26"/>
  <c r="X49" i="26"/>
  <c r="X50" i="26"/>
  <c r="X51" i="26"/>
  <c r="X52" i="26"/>
  <c r="X53" i="26"/>
  <c r="X54" i="26"/>
  <c r="X55" i="26"/>
  <c r="X44" i="26"/>
  <c r="AB24" i="26"/>
  <c r="AB25" i="26"/>
  <c r="AB26" i="26"/>
  <c r="AB27" i="26"/>
  <c r="AB28" i="26"/>
  <c r="AB29" i="26"/>
  <c r="AB30" i="26"/>
  <c r="AB31" i="26"/>
  <c r="AB32" i="26"/>
  <c r="AB33" i="26"/>
  <c r="AB34" i="26"/>
  <c r="AB35" i="26"/>
  <c r="AB36" i="26"/>
  <c r="AB37" i="26"/>
  <c r="AB38" i="26"/>
  <c r="AB39" i="26"/>
  <c r="AB23" i="26"/>
  <c r="AA38" i="26"/>
  <c r="AA35" i="26"/>
  <c r="AA36" i="26"/>
  <c r="AA37" i="26"/>
  <c r="AA33" i="26"/>
  <c r="AA34" i="26"/>
  <c r="AA31" i="26"/>
  <c r="AA32" i="26"/>
  <c r="AA30" i="26"/>
  <c r="AA29" i="26"/>
  <c r="AA28" i="26"/>
  <c r="AA27" i="26"/>
  <c r="AA25" i="26"/>
  <c r="AA26" i="26"/>
  <c r="AA24" i="26"/>
  <c r="AA23" i="26"/>
  <c r="AA39" i="26"/>
  <c r="Y38" i="26"/>
  <c r="Y35" i="26"/>
  <c r="Y36" i="26"/>
  <c r="Y37" i="26"/>
  <c r="Y33" i="26"/>
  <c r="Y34" i="26"/>
  <c r="Y31" i="26"/>
  <c r="Y32" i="26"/>
  <c r="Y30" i="26"/>
  <c r="Y29" i="26"/>
  <c r="Y28" i="26"/>
  <c r="Y27" i="26"/>
  <c r="Y25" i="26"/>
  <c r="Y26" i="26"/>
  <c r="Y24" i="26"/>
  <c r="Y23" i="26"/>
  <c r="Y39" i="26"/>
  <c r="X38" i="26"/>
  <c r="X35" i="26"/>
  <c r="X36" i="26"/>
  <c r="X37" i="26"/>
  <c r="X33" i="26"/>
  <c r="X34" i="26"/>
  <c r="X31" i="26"/>
  <c r="X32" i="26"/>
  <c r="Z32" i="26" s="1"/>
  <c r="X30" i="26"/>
  <c r="X29" i="26"/>
  <c r="X28" i="26"/>
  <c r="X27" i="26"/>
  <c r="X25" i="26"/>
  <c r="X26" i="26"/>
  <c r="X24" i="26"/>
  <c r="X23" i="26"/>
  <c r="Z23" i="26" s="1"/>
  <c r="X39" i="26"/>
  <c r="AB18" i="26"/>
  <c r="AB17" i="26"/>
  <c r="AB16" i="26"/>
  <c r="AA18" i="26"/>
  <c r="AA17" i="26"/>
  <c r="AA16" i="26"/>
  <c r="AD8" i="26"/>
  <c r="AC8" i="26"/>
  <c r="AB8" i="26"/>
  <c r="AA8" i="26"/>
  <c r="AD7" i="26"/>
  <c r="AC7" i="26"/>
  <c r="AB7" i="26"/>
  <c r="AA7" i="26"/>
  <c r="AD6" i="26"/>
  <c r="AC6" i="26"/>
  <c r="AB6" i="26"/>
  <c r="AA6" i="26"/>
  <c r="AA9" i="26" s="1"/>
  <c r="Z37" i="26" l="1"/>
  <c r="Z27" i="26"/>
  <c r="Z36" i="26"/>
  <c r="Z28" i="26"/>
  <c r="Z29" i="26"/>
  <c r="Z35" i="26"/>
  <c r="Z39" i="26"/>
  <c r="Z30" i="26"/>
  <c r="Z38" i="26"/>
  <c r="AB9" i="26"/>
  <c r="Z24" i="26"/>
  <c r="Z31" i="26"/>
  <c r="Z26" i="26"/>
  <c r="Z34" i="26"/>
  <c r="AD9" i="26"/>
  <c r="Z25" i="26"/>
  <c r="Z33" i="26"/>
  <c r="AC9" i="26"/>
  <c r="G162" i="17" l="1"/>
  <c r="G125" i="17"/>
  <c r="G134" i="17"/>
  <c r="L123" i="17"/>
  <c r="G155" i="17"/>
  <c r="G153" i="17"/>
  <c r="G152" i="17"/>
  <c r="G151" i="17"/>
  <c r="G150" i="17"/>
  <c r="G135" i="17"/>
  <c r="G121" i="17"/>
  <c r="G120" i="17"/>
  <c r="L122" i="17" s="1"/>
  <c r="E24" i="20"/>
  <c r="J32" i="17"/>
  <c r="H73" i="17" a="1"/>
  <c r="H73" i="17" s="1"/>
  <c r="J58" i="17"/>
  <c r="G58" i="17"/>
  <c r="L58" i="17"/>
  <c r="K58" i="17"/>
  <c r="I58" i="17"/>
  <c r="H58" i="17"/>
  <c r="K45" i="17"/>
  <c r="K46" i="17"/>
  <c r="K44" i="17"/>
  <c r="J45" i="17"/>
  <c r="J46" i="17"/>
  <c r="J44" i="17"/>
  <c r="H45" i="17"/>
  <c r="H46" i="17"/>
  <c r="H44" i="17"/>
  <c r="L108" i="17" a="1"/>
  <c r="L108" i="17" s="1"/>
  <c r="L19" i="17" s="1"/>
  <c r="K108" i="17" a="1"/>
  <c r="K108" i="17" s="1"/>
  <c r="K19" i="17" s="1"/>
  <c r="J108" i="17" a="1"/>
  <c r="J108" i="17" s="1"/>
  <c r="J19" i="17" s="1"/>
  <c r="I108" i="17" a="1"/>
  <c r="I108" i="17" s="1"/>
  <c r="I19" i="17" s="1"/>
  <c r="D26" i="20" s="1"/>
  <c r="L102" i="17" a="1"/>
  <c r="L102" i="17" s="1"/>
  <c r="L16" i="17" s="1"/>
  <c r="N32" i="20" s="1"/>
  <c r="K102" i="17" a="1"/>
  <c r="K102" i="17" s="1"/>
  <c r="K16" i="17" s="1"/>
  <c r="M32" i="20" s="1"/>
  <c r="J102" i="17" a="1"/>
  <c r="J102" i="17" s="1"/>
  <c r="J16" i="17" s="1"/>
  <c r="I102" i="17" a="1"/>
  <c r="I102" i="17" s="1"/>
  <c r="I16" i="17" s="1"/>
  <c r="L96" i="17" a="1"/>
  <c r="L96" i="17" s="1"/>
  <c r="L13" i="17" s="1"/>
  <c r="K96" i="17" a="1"/>
  <c r="K96" i="17" s="1"/>
  <c r="K13" i="17" s="1"/>
  <c r="J96" i="17" a="1"/>
  <c r="J96" i="17" s="1"/>
  <c r="J13" i="17" s="1"/>
  <c r="L30" i="20" s="1"/>
  <c r="I96" i="17" a="1"/>
  <c r="I96" i="17" s="1"/>
  <c r="I13" i="17" s="1"/>
  <c r="K30" i="20" s="1"/>
  <c r="L90" i="17" a="1"/>
  <c r="L90" i="17" s="1"/>
  <c r="L10" i="17" s="1"/>
  <c r="N28" i="20" s="1"/>
  <c r="K90" i="17" a="1"/>
  <c r="K90" i="17" s="1"/>
  <c r="K10" i="17" s="1"/>
  <c r="J90" i="17" a="1"/>
  <c r="J90" i="17" s="1"/>
  <c r="J10" i="17" s="1"/>
  <c r="L28" i="20" s="1"/>
  <c r="I90" i="17" a="1"/>
  <c r="I90" i="17" s="1"/>
  <c r="I10" i="17" s="1"/>
  <c r="L32" i="17"/>
  <c r="K32" i="17"/>
  <c r="I32" i="17"/>
  <c r="L31" i="17"/>
  <c r="K31" i="17"/>
  <c r="M8" i="20" s="1"/>
  <c r="J31" i="17"/>
  <c r="L8" i="20" s="1"/>
  <c r="I31" i="17"/>
  <c r="K8" i="20" s="1"/>
  <c r="L30" i="17"/>
  <c r="K30" i="17"/>
  <c r="M14" i="20" s="1"/>
  <c r="J30" i="17"/>
  <c r="I30" i="17"/>
  <c r="K14" i="20" s="1"/>
  <c r="L28" i="17"/>
  <c r="N13" i="20" s="1"/>
  <c r="J36" i="20" s="1"/>
  <c r="K28" i="17"/>
  <c r="M13" i="20" s="1"/>
  <c r="I36" i="20" s="1"/>
  <c r="J28" i="17"/>
  <c r="I28" i="17"/>
  <c r="L26" i="17"/>
  <c r="N7" i="20" s="1"/>
  <c r="K26" i="17"/>
  <c r="M7" i="20" s="1"/>
  <c r="J26" i="17"/>
  <c r="I26" i="17"/>
  <c r="K7" i="20" s="1"/>
  <c r="AB11" i="26" l="1"/>
  <c r="AC11" i="26"/>
  <c r="AA11" i="26"/>
  <c r="I34" i="20"/>
  <c r="I30" i="20" s="1"/>
  <c r="J34" i="20"/>
  <c r="J30" i="20" s="1"/>
  <c r="G34" i="20"/>
  <c r="G136" i="17"/>
  <c r="G137" i="17" s="1"/>
  <c r="G161" i="17" s="1"/>
  <c r="G122" i="17"/>
  <c r="L120" i="17" s="1"/>
  <c r="L121" i="17" s="1"/>
  <c r="L15" i="20"/>
  <c r="N15" i="20"/>
  <c r="M15" i="20"/>
  <c r="L7" i="20"/>
  <c r="N8" i="20"/>
  <c r="K13" i="20"/>
  <c r="G36" i="20" s="1"/>
  <c r="K15" i="20"/>
  <c r="N14" i="20"/>
  <c r="L13" i="20"/>
  <c r="H36" i="20" s="1"/>
  <c r="H39" i="20" s="1"/>
  <c r="M28" i="20"/>
  <c r="M30" i="20"/>
  <c r="N30" i="20"/>
  <c r="K28" i="20"/>
  <c r="K32" i="20"/>
  <c r="I39" i="20"/>
  <c r="J39" i="20"/>
  <c r="J41" i="20" s="1"/>
  <c r="L32" i="20"/>
  <c r="L45" i="17"/>
  <c r="L44" i="17"/>
  <c r="L46" i="17"/>
  <c r="I44" i="17"/>
  <c r="I45" i="17"/>
  <c r="I46" i="17"/>
  <c r="I27" i="17"/>
  <c r="J27" i="17"/>
  <c r="K27" i="17"/>
  <c r="L27" i="17"/>
  <c r="AD11" i="26" l="1"/>
  <c r="I41" i="20"/>
  <c r="G30" i="20"/>
  <c r="J28" i="20"/>
  <c r="H34" i="20"/>
  <c r="I28" i="20" s="1"/>
  <c r="K34" i="20"/>
  <c r="L34" i="20" s="1"/>
  <c r="L36" i="20" s="1"/>
  <c r="L35" i="20" s="1"/>
  <c r="L125" i="17"/>
  <c r="G160" i="17" s="1"/>
  <c r="G163" i="17" s="1"/>
  <c r="K159" i="17" s="1"/>
  <c r="L159" i="17" s="1"/>
  <c r="G39" i="20"/>
  <c r="G41" i="20" s="1"/>
  <c r="H30" i="20"/>
  <c r="H28" i="20"/>
  <c r="H41" i="20"/>
  <c r="M10" i="20"/>
  <c r="N10" i="20"/>
  <c r="L10" i="20"/>
  <c r="K10" i="20"/>
  <c r="H43" i="20"/>
  <c r="H45" i="20" s="1"/>
  <c r="J43" i="20"/>
  <c r="J45" i="20" s="1"/>
  <c r="I43" i="20"/>
  <c r="I45" i="20" s="1"/>
  <c r="K38" i="20" l="1"/>
  <c r="K36" i="20"/>
  <c r="M34" i="20"/>
  <c r="N34" i="20" s="1"/>
  <c r="N36" i="20" s="1"/>
  <c r="L38" i="20"/>
  <c r="L39" i="20" s="1"/>
  <c r="G43" i="20"/>
  <c r="G45" i="20" s="1"/>
  <c r="G35" i="20"/>
  <c r="K11" i="20"/>
  <c r="H35" i="20"/>
  <c r="L11" i="20"/>
  <c r="J35" i="20"/>
  <c r="N11" i="20"/>
  <c r="I35" i="20"/>
  <c r="M11" i="20"/>
  <c r="K39" i="20" l="1"/>
  <c r="Y80" i="26" s="1"/>
  <c r="N38" i="20"/>
  <c r="N39" i="20" s="1"/>
  <c r="N41" i="20" s="1"/>
  <c r="M36" i="20"/>
  <c r="M35" i="20" s="1"/>
  <c r="K35" i="20"/>
  <c r="M38" i="20"/>
  <c r="L43" i="20"/>
  <c r="L45" i="20" s="1"/>
  <c r="L41" i="20"/>
  <c r="N35" i="20"/>
  <c r="K43" i="20" l="1"/>
  <c r="K45" i="20" s="1"/>
  <c r="K41" i="20"/>
  <c r="M39" i="20"/>
  <c r="M43" i="20" s="1"/>
  <c r="M45" i="20" s="1"/>
  <c r="N43" i="20"/>
  <c r="N45" i="20" s="1"/>
  <c r="M41" i="2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435255-1BD1-483C-BC72-C0BBD70263BA}" keepAlive="1" name="Query - 01_data_validation" description="Connection to the '01_data_validation' query in the workbook." type="5" refreshedVersion="8" background="1" saveData="1">
    <dbPr connection="Provider=Microsoft.Mashup.OleDb.1;Data Source=$Workbook$;Location=01_data_validation;Extended Properties=&quot;&quot;" command="SELECT * FROM [01_data_validation]"/>
  </connection>
  <connection id="2" xr16:uid="{5507AFE2-3643-4A3F-86D9-E3BB84799A65}" keepAlive="1" name="Query - 02_analysis_time_series" description="Connection to the '02_analysis_time_series' query in the workbook." type="5" refreshedVersion="8" background="1" saveData="1">
    <dbPr connection="Provider=Microsoft.Mashup.OleDb.1;Data Source=$Workbook$;Location=02_analysis_time_series;Extended Properties=&quot;&quot;" command="SELECT * FROM [02_analysis_time_series]"/>
  </connection>
  <connection id="3" xr16:uid="{6180D50B-2E88-44F9-8F6C-F8DBB6510BD9}" keepAlive="1" name="Query - 03_cateogry_analysis" description="Connection to the '03_cateogry_analysis' query in the workbook." type="5" refreshedVersion="8" background="1" saveData="1">
    <dbPr connection="Provider=Microsoft.Mashup.OleDb.1;Data Source=$Workbook$;Location=03_cateogry_analysis;Extended Properties=&quot;&quot;" command="SELECT * FROM [03_cateogry_analysis]"/>
  </connection>
  <connection id="4" xr16:uid="{90DBA5EA-D181-464C-A42B-92B64902EF7B}" keepAlive="1" name="Query - 04_product_subcategory_analysis" description="Connection to the '04_product_subcategory_analysis' query in the workbook." type="5" refreshedVersion="8" background="1" saveData="1">
    <dbPr connection="Provider=Microsoft.Mashup.OleDb.1;Data Source=$Workbook$;Location=04_product_subcategory_analysis;Extended Properties=&quot;&quot;" command="SELECT * FROM [04_product_subcategory_analysis]"/>
  </connection>
  <connection id="5" xr16:uid="{9CC73F53-E464-412D-A1A1-9BE7465FC847}" keepAlive="1" name="Query - 05_regional_analysis" description="Connection to the '05_regional_analysis' query in the workbook." type="5" refreshedVersion="8" background="1" saveData="1">
    <dbPr connection="Provider=Microsoft.Mashup.OleDb.1;Data Source=$Workbook$;Location=05_regional_analysis;Extended Properties=&quot;&quot;" command="SELECT * FROM [05_regional_analysis]"/>
  </connection>
  <connection id="6" xr16:uid="{2E5D2BAD-B3B2-48B5-A348-612CF917C827}" keepAlive="1" name="Query - 06_customer_segment_analysis" description="Connection to the '06_customer_segment_analysis' query in the workbook." type="5" refreshedVersion="8" background="1" saveData="1">
    <dbPr connection="Provider=Microsoft.Mashup.OleDb.1;Data Source=$Workbook$;Location=06_customer_segment_analysis;Extended Properties=&quot;&quot;" command="SELECT * FROM [06_customer_segment_analysis]"/>
  </connection>
  <connection id="7" xr16:uid="{98A11C9F-A091-4092-8E69-218EE5901F0F}" keepAlive="1" name="Query - 07_profit_analysis" description="Connection to the '07_profit_analysis' query in the workbook." type="5" refreshedVersion="8" background="1" saveData="1">
    <dbPr connection="Provider=Microsoft.Mashup.OleDb.1;Data Source=$Workbook$;Location=07_profit_analysis;Extended Properties=&quot;&quot;" command="SELECT * FROM [07_profit_analysis]"/>
  </connection>
  <connection id="8" xr16:uid="{38CC09D6-67D0-448B-9FA2-108E1A9D90D7}" keepAlive="1" name="Query - 08_discount" description="Connection to the '08_discount' query in the workbook." type="5" refreshedVersion="8" background="1" saveData="1">
    <dbPr connection="Provider=Microsoft.Mashup.OleDb.1;Data Source=$Workbook$;Location=08_discount;Extended Properties=&quot;&quot;" command="SELECT * FROM [08_discount]"/>
  </connection>
  <connection id="9" xr16:uid="{508663E3-BAB6-4CA9-B56D-AF8CCDF73298}" keepAlive="1" name="Query - 09_unit_economics_diagnostic" description="Connection to the '09_unit_economics_diagnostic' query in the workbook." type="5" refreshedVersion="8" background="1" saveData="1">
    <dbPr connection="Provider=Microsoft.Mashup.OleDb.1;Data Source=$Workbook$;Location=09_unit_economics_diagnostic;Extended Properties=&quot;&quot;" command="SELECT * FROM [09_unit_economics_diagnostic]"/>
  </connection>
  <connection id="10" xr16:uid="{5DA8B8F7-2F73-4A06-8D59-34790CBA1A01}" keepAlive="1" name="Query - processed" description="Connection to the 'processed' query in the workbook." type="5" refreshedVersion="8" background="1" saveData="1">
    <dbPr connection="Provider=Microsoft.Mashup.OleDb.1;Data Source=$Workbook$;Location=processed;Extended Properties=&quot;&quot;" command="SELECT * FROM [process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<sst xmlns="http://schemas.openxmlformats.org/spreadsheetml/2006/main" count="657" uniqueCount="328">
  <si>
    <t>product_category</t>
  </si>
  <si>
    <t>total_revenue</t>
  </si>
  <si>
    <t>total_profit</t>
  </si>
  <si>
    <t>profit_margin</t>
  </si>
  <si>
    <t>revenue_share_pct</t>
  </si>
  <si>
    <t>profit_contribution_pct</t>
  </si>
  <si>
    <t>profit_vs_revenue_gap</t>
  </si>
  <si>
    <t>Technology</t>
  </si>
  <si>
    <t>Office Supplies</t>
  </si>
  <si>
    <t>Furniture</t>
  </si>
  <si>
    <t>Row ID</t>
  </si>
  <si>
    <t>Order ID</t>
  </si>
  <si>
    <t>Order Date</t>
  </si>
  <si>
    <t>Ship Date</t>
  </si>
  <si>
    <t>Ship Mode</t>
  </si>
  <si>
    <t>Customer ID</t>
  </si>
  <si>
    <t>Customer Name</t>
  </si>
  <si>
    <t>Segment</t>
  </si>
  <si>
    <t>City</t>
  </si>
  <si>
    <t>State</t>
  </si>
  <si>
    <t>Country</t>
  </si>
  <si>
    <t>Postal Code</t>
  </si>
  <si>
    <t>Market</t>
  </si>
  <si>
    <t>Region</t>
  </si>
  <si>
    <t>Product ID</t>
  </si>
  <si>
    <t>Category</t>
  </si>
  <si>
    <t>Sub-Category</t>
  </si>
  <si>
    <t>Product Name</t>
  </si>
  <si>
    <t>Sales</t>
  </si>
  <si>
    <t>Quantity</t>
  </si>
  <si>
    <t>Discount</t>
  </si>
  <si>
    <t>Profit</t>
  </si>
  <si>
    <t>Shipping Cost</t>
  </si>
  <si>
    <t>Order Priority</t>
  </si>
  <si>
    <t>CA-2012-124891</t>
  </si>
  <si>
    <t>31-07-2012</t>
  </si>
  <si>
    <t>Same Day</t>
  </si>
  <si>
    <t>RH-19495</t>
  </si>
  <si>
    <t>Rick Hansen</t>
  </si>
  <si>
    <t>Consumer</t>
  </si>
  <si>
    <t>New York City</t>
  </si>
  <si>
    <t>New York</t>
  </si>
  <si>
    <t>United States</t>
  </si>
  <si>
    <t>US</t>
  </si>
  <si>
    <t>East</t>
  </si>
  <si>
    <t>TEC-AC-10003033</t>
  </si>
  <si>
    <t>Accessories</t>
  </si>
  <si>
    <t>Plantronics CS510 - Over-the-Head monaural Wireless Headset System</t>
  </si>
  <si>
    <t>Critical</t>
  </si>
  <si>
    <t>IN-2013-77878</t>
  </si>
  <si>
    <t>05-02-2013</t>
  </si>
  <si>
    <t>07-02-2013</t>
  </si>
  <si>
    <t>Second Class</t>
  </si>
  <si>
    <t>JR-16210</t>
  </si>
  <si>
    <t>Justin Ritter</t>
  </si>
  <si>
    <t>Corporate</t>
  </si>
  <si>
    <t>Wollongong</t>
  </si>
  <si>
    <t>New South Wales</t>
  </si>
  <si>
    <t>Australia</t>
  </si>
  <si>
    <t>APAC</t>
  </si>
  <si>
    <t>Oceania</t>
  </si>
  <si>
    <t>FUR-CH-10003950</t>
  </si>
  <si>
    <t>Chairs</t>
  </si>
  <si>
    <t>Novimex Executive Leather Armchair, Black</t>
  </si>
  <si>
    <t>IN-2013-71249</t>
  </si>
  <si>
    <t>17-10-2013</t>
  </si>
  <si>
    <t>18-10-2013</t>
  </si>
  <si>
    <t>First Class</t>
  </si>
  <si>
    <t>CR-12730</t>
  </si>
  <si>
    <t>Craig Reiter</t>
  </si>
  <si>
    <t>Brisbane</t>
  </si>
  <si>
    <t>Queensland</t>
  </si>
  <si>
    <t>TEC-PH-10004664</t>
  </si>
  <si>
    <t>Phones</t>
  </si>
  <si>
    <t>Nokia Smart Phone, with Caller ID</t>
  </si>
  <si>
    <t>Medium</t>
  </si>
  <si>
    <t>ES-2013-1579342</t>
  </si>
  <si>
    <t>28-01-2013</t>
  </si>
  <si>
    <t>30-01-2013</t>
  </si>
  <si>
    <t>KM-16375</t>
  </si>
  <si>
    <t>Katherine Murray</t>
  </si>
  <si>
    <t>Home Office</t>
  </si>
  <si>
    <t>Berlin</t>
  </si>
  <si>
    <t>Germany</t>
  </si>
  <si>
    <t>EU</t>
  </si>
  <si>
    <t>Central</t>
  </si>
  <si>
    <t>TEC-PH-10004583</t>
  </si>
  <si>
    <t>Motorola Smart Phone, Cordless</t>
  </si>
  <si>
    <t>SG-2013-4320</t>
  </si>
  <si>
    <t>05-11-2013</t>
  </si>
  <si>
    <t>06-11-2013</t>
  </si>
  <si>
    <t>RH-9495</t>
  </si>
  <si>
    <t>Dakar</t>
  </si>
  <si>
    <t>Senegal</t>
  </si>
  <si>
    <t>Africa</t>
  </si>
  <si>
    <t>TEC-SHA-10000501</t>
  </si>
  <si>
    <t>Copiers</t>
  </si>
  <si>
    <t>Sharp Wireless Fax, High-Speed</t>
  </si>
  <si>
    <t>IN-2013-42360</t>
  </si>
  <si>
    <t>28-06-2013</t>
  </si>
  <si>
    <t>01-07-2013</t>
  </si>
  <si>
    <t>JM-15655</t>
  </si>
  <si>
    <t>Jim Mitchum</t>
  </si>
  <si>
    <t>Sydney</t>
  </si>
  <si>
    <t>TEC-PH-10000030</t>
  </si>
  <si>
    <t>Samsung Smart Phone, with Caller ID</t>
  </si>
  <si>
    <t>IN-2011-81826</t>
  </si>
  <si>
    <t>07-11-2011</t>
  </si>
  <si>
    <t>09-11-2011</t>
  </si>
  <si>
    <t>TS-21340</t>
  </si>
  <si>
    <t>Toby Swindell</t>
  </si>
  <si>
    <t>Porirua</t>
  </si>
  <si>
    <t>Wellington</t>
  </si>
  <si>
    <t>New Zealand</t>
  </si>
  <si>
    <t>FUR-CH-10004050</t>
  </si>
  <si>
    <t>Novimex Executive Leather Armchair, Adjustable</t>
  </si>
  <si>
    <t>IN-2012-86369</t>
  </si>
  <si>
    <t>14-04-2012</t>
  </si>
  <si>
    <t>18-04-2012</t>
  </si>
  <si>
    <t>Standard Class</t>
  </si>
  <si>
    <t>MB-18085</t>
  </si>
  <si>
    <t>Mick Brown</t>
  </si>
  <si>
    <t>Hamilton</t>
  </si>
  <si>
    <t>Waikato</t>
  </si>
  <si>
    <t>FUR-TA-10002958</t>
  </si>
  <si>
    <t>Tables</t>
  </si>
  <si>
    <t>Chromcraft Conference Table, Fully Assembled</t>
  </si>
  <si>
    <t>High</t>
  </si>
  <si>
    <t>CA-2014-135909</t>
  </si>
  <si>
    <t>14-10-2014</t>
  </si>
  <si>
    <t>21-10-2014</t>
  </si>
  <si>
    <t>JW-15220</t>
  </si>
  <si>
    <t>Jane Waco</t>
  </si>
  <si>
    <t>Sacramento</t>
  </si>
  <si>
    <t>California</t>
  </si>
  <si>
    <t>West</t>
  </si>
  <si>
    <t>OFF-BI-10003527</t>
  </si>
  <si>
    <t>Binders</t>
  </si>
  <si>
    <t>Fellowes PB500 Electric Punch Plastic Comb Binding Machine with Manual Bind</t>
  </si>
  <si>
    <t>Low</t>
  </si>
  <si>
    <t>CA-2012-116638</t>
  </si>
  <si>
    <t>28-01-2012</t>
  </si>
  <si>
    <t>31-01-2012</t>
  </si>
  <si>
    <t>JH-15985</t>
  </si>
  <si>
    <t>Joseph Holt</t>
  </si>
  <si>
    <t>Concord</t>
  </si>
  <si>
    <t>North Carolina</t>
  </si>
  <si>
    <t>South</t>
  </si>
  <si>
    <t>FUR-TA-10000198</t>
  </si>
  <si>
    <t>Chromcraft Bull-Nose Wood Oval Conference Tables &amp; Bases</t>
  </si>
  <si>
    <t>year</t>
  </si>
  <si>
    <t>previous_year_revenue</t>
  </si>
  <si>
    <t>revenue_change_pct</t>
  </si>
  <si>
    <t>profit_change_pct</t>
  </si>
  <si>
    <t>product_category_contribution_pct</t>
  </si>
  <si>
    <t>product_subcategory_contribution_pct</t>
  </si>
  <si>
    <t>Paper</t>
  </si>
  <si>
    <t>Labels</t>
  </si>
  <si>
    <t>Envelopes</t>
  </si>
  <si>
    <t>Art</t>
  </si>
  <si>
    <t>Fasteners</t>
  </si>
  <si>
    <t>Appliances</t>
  </si>
  <si>
    <t>Furnishings</t>
  </si>
  <si>
    <t>Bookcases</t>
  </si>
  <si>
    <t>Storage</t>
  </si>
  <si>
    <t>Supplies</t>
  </si>
  <si>
    <t>Machines</t>
  </si>
  <si>
    <t>region_revenue_contribution_pct</t>
  </si>
  <si>
    <t>North</t>
  </si>
  <si>
    <t>Southeast Asia</t>
  </si>
  <si>
    <t>North Asia</t>
  </si>
  <si>
    <t>EMEA</t>
  </si>
  <si>
    <t>Central Asia</t>
  </si>
  <si>
    <t>Caribbean</t>
  </si>
  <si>
    <t>Canada</t>
  </si>
  <si>
    <t>customer_segment</t>
  </si>
  <si>
    <t>customer_segment_revenue_contribution_pct</t>
  </si>
  <si>
    <t>discount</t>
  </si>
  <si>
    <t>commerical_risk_flag</t>
  </si>
  <si>
    <t>Acceptable</t>
  </si>
  <si>
    <t>average_selling_price</t>
  </si>
  <si>
    <t>average_unit_cost</t>
  </si>
  <si>
    <t>average_unit_profit</t>
  </si>
  <si>
    <t>Revenue</t>
  </si>
  <si>
    <t>2012A</t>
  </si>
  <si>
    <t>2013A</t>
  </si>
  <si>
    <t>2014A</t>
  </si>
  <si>
    <t>2015F</t>
  </si>
  <si>
    <t>Profit Contribution vs Revenue Share</t>
  </si>
  <si>
    <t>Tax</t>
  </si>
  <si>
    <t>Tax Rate</t>
  </si>
  <si>
    <t>Operating Contribution</t>
  </si>
  <si>
    <t>2016F</t>
  </si>
  <si>
    <t>2017F</t>
  </si>
  <si>
    <t>Drivers</t>
  </si>
  <si>
    <t>Driver Switch</t>
  </si>
  <si>
    <t>Revenue Growth</t>
  </si>
  <si>
    <t>Commercial Performance Revuew - Due Dilligence Case Study</t>
  </si>
  <si>
    <t>Data Source</t>
  </si>
  <si>
    <t>Global Superstore transactional  Dataset 2011-2014</t>
  </si>
  <si>
    <t>Key Investment Question</t>
  </si>
  <si>
    <t>Investment View</t>
  </si>
  <si>
    <t>Conditional Buy</t>
  </si>
  <si>
    <t>The busness demonstrates strong revenue growth and stable margins, but value is unevenly distributed across categories. Profitabillity is heavily concentrated in Technology and Office Supplies, while Furniture exhibits structural underperformance.
Value creation is achievable through portfolio optimisation and pricing discipline</t>
  </si>
  <si>
    <t>Kenneth Christopher | April 2026</t>
  </si>
  <si>
    <t xml:space="preserve">Should an </t>
  </si>
  <si>
    <t>Should an investor acquire this business given its revenue growth trajectory, margin profle, and operational risks?</t>
  </si>
  <si>
    <t>Analysis</t>
  </si>
  <si>
    <t>Global Superstore Transactional  Dataset 2011-2014</t>
  </si>
  <si>
    <t>Historical Operating Performance</t>
  </si>
  <si>
    <t>2011A</t>
  </si>
  <si>
    <t>Cost of Sales</t>
  </si>
  <si>
    <t>OC Margin</t>
  </si>
  <si>
    <t>YoY Revenue Growth %</t>
  </si>
  <si>
    <t>YoY Profit Growth %</t>
  </si>
  <si>
    <t>OC Margin %</t>
  </si>
  <si>
    <t>Operating Contribution reflects revenue less direct product costs as recorded in transactional data. This figure is inclusive of variable operating costs and is not directly comparable to a standard gross profit line in an audited P&amp;L.</t>
  </si>
  <si>
    <t xml:space="preserve"> </t>
  </si>
  <si>
    <t>Category Performance Summary</t>
  </si>
  <si>
    <t>Revenue Growth %</t>
  </si>
  <si>
    <t>Downside</t>
  </si>
  <si>
    <t>Base</t>
  </si>
  <si>
    <t>Upside</t>
  </si>
  <si>
    <t>Fixed Costs %</t>
  </si>
  <si>
    <t>Tax Rate %</t>
  </si>
  <si>
    <t>Analytical Insights (Data-driven)</t>
  </si>
  <si>
    <t>All figures in USD unless stated</t>
  </si>
  <si>
    <t xml:space="preserve">Revenue </t>
  </si>
  <si>
    <t>Revenue Share %</t>
  </si>
  <si>
    <t>Profit Contribution %</t>
  </si>
  <si>
    <t>Sub-Category Risk Flags</t>
  </si>
  <si>
    <t>Avg Selling Price</t>
  </si>
  <si>
    <t>Avg Cost</t>
  </si>
  <si>
    <t>Risk Discount %</t>
  </si>
  <si>
    <t>Classification</t>
  </si>
  <si>
    <t>Avg Profit</t>
  </si>
  <si>
    <t>Tables classification (Cost Risk vs Pricing Risk) determined by unit economics query. If avg discount &gt; 20% alongside negative margin → Pricing Risk. If avg discount &lt; 10 alongside negative margin → Structural Cost Risk.</t>
  </si>
  <si>
    <t>Pricing Risk-Excessive Discounting</t>
  </si>
  <si>
    <t>Tables is the only loss-making sub-category, with a -8% margin driven by 29% discounting, indicating a pricing-led profitability issue rather than structural cost inefficiency.</t>
  </si>
  <si>
    <t>Discount Analysis Summary</t>
  </si>
  <si>
    <t>Company Average Discount Rate</t>
  </si>
  <si>
    <t>Furniture Average Discount Rate</t>
  </si>
  <si>
    <t>Technology Average Discount Rate</t>
  </si>
  <si>
    <t>Office Supplies Average Discount Rate</t>
  </si>
  <si>
    <t>%</t>
  </si>
  <si>
    <t>Data Driven Assumptions</t>
  </si>
  <si>
    <t>Forward Scenario Assumptions</t>
  </si>
  <si>
    <t>Commercial Performance Revenue - Due Dilligence Case Study | Inputs Sheet</t>
  </si>
  <si>
    <t>Commercial Performance Revenue - Due Dilligence Case Study | P&amp;L</t>
  </si>
  <si>
    <t>YoY Growth %</t>
  </si>
  <si>
    <t>Cost of Sales as % of Revenue</t>
  </si>
  <si>
    <t>YoY OC Growth</t>
  </si>
  <si>
    <t>Operating Contribution = Revenue less direct product costs from transactional data. Inclusive of variable operating costs. Not directly comparable to audited gross profit.Full cost decomposition requires audited financial statements</t>
  </si>
  <si>
    <t>Illustrative Forward Scenario</t>
  </si>
  <si>
    <t>Fixed Cost %</t>
  </si>
  <si>
    <t>Fixed Overhead</t>
  </si>
  <si>
    <t>2018F</t>
  </si>
  <si>
    <t>Illustrative EBIT</t>
  </si>
  <si>
    <t>EBIT Margin %</t>
  </si>
  <si>
    <t>Illustrative Net Profit</t>
  </si>
  <si>
    <t>Office Supplies is the weakest category, contributing only 19.4% of profit despite 32.5% of revenue, driven by a materially lower 7% margin versus 14% for Technology and Furniture.</t>
  </si>
  <si>
    <t>Discounting is not the primary driver of category-level margin differences. While Tables exhibits excessive discounting (29% vs 14.3% average), Office Supplies underperformance appears driven by cost structure rather than pricing</t>
  </si>
  <si>
    <t>Value Creation Scenarios</t>
  </si>
  <si>
    <t>Current Tables avg Selling Price</t>
  </si>
  <si>
    <t>Current Discount Rate</t>
  </si>
  <si>
    <t>Implied List Price</t>
  </si>
  <si>
    <t>Model Driver Set to</t>
  </si>
  <si>
    <t>New Selling Price</t>
  </si>
  <si>
    <t>New Unit Profit</t>
  </si>
  <si>
    <t>Current Unit Profit</t>
  </si>
  <si>
    <t>Profit Improvement per Unit</t>
  </si>
  <si>
    <t>Tables - If discount reduced to company average 14.3%</t>
  </si>
  <si>
    <t>Total Tables Units Sold</t>
  </si>
  <si>
    <t>Total Profit Improvement</t>
  </si>
  <si>
    <t>Tables pricing rationalisation represents an immediately actionable lever requiring no operational change,only pricing discipline.</t>
  </si>
  <si>
    <t>Total Revenue</t>
  </si>
  <si>
    <t>Current OC at 7% margin</t>
  </si>
  <si>
    <t>Target OC at 10% margin</t>
  </si>
  <si>
    <t>Profit Improvement</t>
  </si>
  <si>
    <t>Office Supplies margin recovery represents the largest value creation opportunity, with margin improvement from 7% to 10%, generating ~114k of incremental profit. Unlike the Tables Sub-category, this underperformance is not driven by discounting, suggesting cost inefficiencies or product mix issues</t>
  </si>
  <si>
    <t>Revenue at 8% growth</t>
  </si>
  <si>
    <t>Revenue at 15% growth</t>
  </si>
  <si>
    <t>Incremental Revenue</t>
  </si>
  <si>
    <t>Additional OC at 14 % margin</t>
  </si>
  <si>
    <t>Combined Optimisation</t>
  </si>
  <si>
    <t>Base Case 2015F Illustrative EBIT</t>
  </si>
  <si>
    <t>Scenario A: Tables Discount Rationalisation</t>
  </si>
  <si>
    <t>Scenario B: Office Supplies Margin Recovery</t>
  </si>
  <si>
    <t>Scenario C: Technology Revenue Acceleration</t>
  </si>
  <si>
    <t>Scenario A Improvement</t>
  </si>
  <si>
    <t>Scenario B Improvement</t>
  </si>
  <si>
    <t>Scenario C Improvement</t>
  </si>
  <si>
    <t>Optimised EBIT</t>
  </si>
  <si>
    <t>Uplift vs Base</t>
  </si>
  <si>
    <t>$</t>
  </si>
  <si>
    <t>Strong revenue growth (~24% CAGR) with stable margins of 11-12%</t>
  </si>
  <si>
    <t>Clear value creation opportunity through Office Supplies margin recovery and Tables Pricing Discipline</t>
  </si>
  <si>
    <t>Subject to: Office Supplies cost structure review, Tables pricing rationalisation</t>
  </si>
  <si>
    <t>Global Superstore Dataset 2011-2014</t>
  </si>
  <si>
    <t>Data: Revenue and Margin  Trend</t>
  </si>
  <si>
    <t>category</t>
  </si>
  <si>
    <t xml:space="preserve">Sub-Category Margin Ranked </t>
  </si>
  <si>
    <t>Subcategory</t>
  </si>
  <si>
    <t>Axis Title</t>
  </si>
  <si>
    <t>Margin %</t>
  </si>
  <si>
    <t>Zero Line</t>
  </si>
  <si>
    <t>Revenue Growing at 24% CAGR - Margin Stable at 12%</t>
  </si>
  <si>
    <t>Office Supplies Significantly Under-Contributing to Profit</t>
  </si>
  <si>
    <t>Tables Is the Sole Loss-Making Sub-Category at -8% Margin</t>
  </si>
  <si>
    <t xml:space="preserve">Regional Performance </t>
  </si>
  <si>
    <t>Revenue Concentrated in Key Regions - Margin Varies Significantly</t>
  </si>
  <si>
    <t xml:space="preserve">Customer Segment Mix </t>
  </si>
  <si>
    <t>Revenue Shares</t>
  </si>
  <si>
    <t>Value Creation Waterfall</t>
  </si>
  <si>
    <t>Base EBIT 2015F</t>
  </si>
  <si>
    <t>Tables Pricing Fix</t>
  </si>
  <si>
    <t>Office Supplies Recovery</t>
  </si>
  <si>
    <t>Technology Acceleration</t>
  </si>
  <si>
    <t>Value Creation of $329K available Through Three Identified Levers</t>
  </si>
  <si>
    <t>Consumer-Led Segment Mix</t>
  </si>
  <si>
    <t>KPI</t>
  </si>
  <si>
    <t>Revenue (2014)</t>
  </si>
  <si>
    <t>Revenue YoY</t>
  </si>
  <si>
    <t>Revenue CAGR</t>
  </si>
  <si>
    <t>Volume-driven growth</t>
  </si>
  <si>
    <t>Furniture Significantly Under-Contributing to Profit</t>
  </si>
  <si>
    <t>Furniture is the key underperformer, 32.5% of revenue but only 19.4% of profit at 7% margins</t>
  </si>
  <si>
    <t>Commercial Performance Review - Due Dilligence Case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</si>
</sst>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0_);\(#,##0\);_(&quot;-&quot;_);_(@_)"/>
    <numFmt numFmtId="165" formatCode="0.0%;\(0.0%\);&quot;-&quot;"/>
    <numFmt numFmtId="166" formatCode="&quot;$&quot;#,##0.0,,&quot;M&quot;"/>
  </numFmts>
  <fonts count="29" x14ac:knownFonts="1">
    <font>
      <sz val="11"/>
      <color theme="1"/>
      <name val="Aptos Narrow"/>
      <family val="2"/>
      <scheme val="minor"/>
    </font>
    <font>
      <b/>
      <sz val="11"/>
      <color theme="0"/>
      <name val="Aptos Narrow"/>
      <family val="2"/>
      <scheme val="minor"/>
    </font>
    <font>
      <sz val="11"/>
      <color theme="1"/>
      <name val="Open Sans"/>
      <family val="2"/>
    </font>
    <font>
      <sz val="11"/>
      <color theme="1"/>
      <name val="Open Sans"/>
      <family val="2"/>
    </font>
    <font>
      <b/>
      <sz val="11"/>
      <color rgb="FF1F4E3D"/>
      <name val="Open Sans"/>
      <family val="2"/>
    </font>
    <font>
      <i/>
      <sz val="11"/>
      <color theme="1"/>
      <name val="Open Sans"/>
      <family val="2"/>
    </font>
    <font>
      <b/>
      <sz val="11"/>
      <color theme="1"/>
      <name val="Open Sans"/>
      <family val="2"/>
    </font>
    <font>
      <sz val="11"/>
      <color theme="0"/>
      <name val="Open Sans"/>
      <family val="2"/>
    </font>
    <font>
      <b/>
      <sz val="11"/>
      <color theme="0"/>
      <name val="Open Sans"/>
      <family val="2"/>
    </font>
    <font>
      <b/>
      <sz val="12"/>
      <color theme="0"/>
      <name val="Open Sans"/>
      <family val="2"/>
    </font>
    <font>
      <b/>
      <sz val="12"/>
      <color theme="1"/>
      <name val="Open Sans"/>
      <family val="2"/>
    </font>
    <font>
      <sz val="14"/>
      <color theme="1"/>
      <name val="Aptos Narrow"/>
      <family val="2"/>
      <scheme val="minor"/>
    </font>
    <font>
      <b/>
      <sz val="14"/>
      <color theme="0"/>
      <name val="Open Sans"/>
      <family val="2"/>
    </font>
    <font>
      <b/>
      <sz val="14"/>
      <color theme="0"/>
      <name val="Aptos Narrow"/>
      <family val="2"/>
      <scheme val="minor"/>
    </font>
    <font>
      <sz val="14"/>
      <color theme="0"/>
      <name val="Open Sans"/>
      <family val="2"/>
    </font>
    <font>
      <b/>
      <sz val="14"/>
      <color theme="1"/>
      <name val="Open Sans"/>
      <family val="2"/>
    </font>
    <font>
      <b/>
      <sz val="18"/>
      <color theme="0"/>
      <name val="Open Sans"/>
      <family val="2"/>
    </font>
    <font>
      <b/>
      <sz val="11"/>
      <color rgb="FF4F8A6B"/>
      <name val="Open Sans"/>
      <family val="2"/>
    </font>
    <font>
      <sz val="11"/>
      <color rgb="FF4F8A6B"/>
      <name val="Open Sans"/>
      <family val="2"/>
    </font>
    <font>
      <i/>
      <sz val="9"/>
      <name val="Open Sans"/>
      <family val="2"/>
    </font>
    <font>
      <b/>
      <sz val="10"/>
      <color theme="1"/>
      <name val="Open Sans"/>
      <family val="2"/>
    </font>
    <font>
      <sz val="10"/>
      <color theme="1"/>
      <name val="Open Sans"/>
      <family val="2"/>
    </font>
    <font>
      <i/>
      <sz val="10"/>
      <color theme="1"/>
      <name val="Open Sans"/>
      <family val="2"/>
    </font>
    <font>
      <sz val="11"/>
      <color theme="3" tint="0.499984740745262"/>
      <name val="Open Sans"/>
      <family val="2"/>
    </font>
    <font>
      <b/>
      <sz val="11"/>
      <color theme="3" tint="0.499984740745262"/>
      <name val="Open Sans"/>
      <family val="2"/>
    </font>
    <font>
      <i/>
      <sz val="11"/>
      <color theme="3" tint="0.499984740745262"/>
      <name val="Open Sans"/>
      <family val="2"/>
    </font>
    <font>
      <b/>
      <i/>
      <sz val="11"/>
      <color rgb="FF1F4E3D"/>
      <name val="Open Sans"/>
      <family val="2"/>
    </font>
    <font>
      <sz val="10"/>
      <color rgb="FF000000"/>
      <name val="Courier New"/>
      <family val="3"/>
    </font>
    <font>
      <sz val="11"/>
      <color theme="6"/>
      <name val="Open Sans"/>
      <family val="2"/>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4F8A6B"/>
        <bgColor indexed="64"/>
      </patternFill>
    </fill>
    <fill>
      <patternFill patternType="solid">
        <fgColor theme="0"/>
        <bgColor indexed="64"/>
      </patternFill>
    </fill>
    <fill>
      <patternFill patternType="solid">
        <fgColor rgb="FF1F4E3D"/>
        <bgColor indexed="64"/>
      </patternFill>
    </fill>
    <fill>
      <patternFill patternType="solid">
        <fgColor rgb="FFD9EAD3"/>
        <bgColor indexed="64"/>
      </patternFill>
    </fill>
    <fill>
      <patternFill patternType="solid">
        <fgColor rgb="FFFFFFFF"/>
        <bgColor indexed="64"/>
      </patternFill>
    </fill>
  </fills>
  <borders count="29">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thin">
        <color rgb="FF1F4E3D"/>
      </top>
      <bottom/>
      <diagonal/>
    </border>
    <border>
      <left style="hair">
        <color rgb="FF1F4E3D"/>
      </left>
      <right/>
      <top/>
      <bottom/>
      <diagonal/>
    </border>
    <border>
      <left/>
      <right style="hair">
        <color rgb="FF1F4E3D"/>
      </right>
      <top/>
      <bottom/>
      <diagonal/>
    </border>
    <border>
      <left style="thick">
        <color rgb="FF1F4E3D"/>
      </left>
      <right/>
      <top style="thick">
        <color rgb="FF1F4E3D"/>
      </top>
      <bottom/>
      <diagonal/>
    </border>
    <border>
      <left/>
      <right/>
      <top style="thick">
        <color rgb="FF1F4E3D"/>
      </top>
      <bottom/>
      <diagonal/>
    </border>
    <border>
      <left/>
      <right style="thick">
        <color rgb="FF1F4E3D"/>
      </right>
      <top style="thick">
        <color rgb="FF1F4E3D"/>
      </top>
      <bottom/>
      <diagonal/>
    </border>
    <border>
      <left style="thick">
        <color rgb="FF1F4E3D"/>
      </left>
      <right/>
      <top/>
      <bottom/>
      <diagonal/>
    </border>
    <border>
      <left/>
      <right style="thick">
        <color rgb="FF1F4E3D"/>
      </right>
      <top/>
      <bottom/>
      <diagonal/>
    </border>
    <border>
      <left style="thick">
        <color rgb="FF1F4E3D"/>
      </left>
      <right/>
      <top/>
      <bottom style="thick">
        <color rgb="FF1F4E3D"/>
      </bottom>
      <diagonal/>
    </border>
    <border>
      <left/>
      <right/>
      <top/>
      <bottom style="thick">
        <color rgb="FF1F4E3D"/>
      </bottom>
      <diagonal/>
    </border>
    <border>
      <left/>
      <right style="thick">
        <color rgb="FF1F4E3D"/>
      </right>
      <top/>
      <bottom style="thick">
        <color rgb="FF1F4E3D"/>
      </bottom>
      <diagonal/>
    </border>
    <border>
      <left style="thick">
        <color rgb="FF1F4E3D"/>
      </left>
      <right/>
      <top style="thick">
        <color rgb="FF1F4E3D"/>
      </top>
      <bottom style="thick">
        <color rgb="FF1F4E3D"/>
      </bottom>
      <diagonal/>
    </border>
    <border>
      <left/>
      <right style="thick">
        <color rgb="FF1F4E3D"/>
      </right>
      <top style="thick">
        <color rgb="FF1F4E3D"/>
      </top>
      <bottom style="thick">
        <color rgb="FF1F4E3D"/>
      </bottom>
      <diagonal/>
    </border>
    <border>
      <left style="thin">
        <color rgb="FF1F4E3D"/>
      </left>
      <right style="thin">
        <color rgb="FF1F4E3D"/>
      </right>
      <top style="thin">
        <color rgb="FF1F4E3D"/>
      </top>
      <bottom style="thin">
        <color rgb="FF1F4E3D"/>
      </bottom>
      <diagonal/>
    </border>
    <border>
      <left style="thin">
        <color rgb="FF1F4E3D"/>
      </left>
      <right/>
      <top style="thin">
        <color rgb="FF1F4E3D"/>
      </top>
      <bottom/>
      <diagonal/>
    </border>
    <border>
      <left/>
      <right style="thin">
        <color rgb="FF1F4E3D"/>
      </right>
      <top style="thin">
        <color rgb="FF1F4E3D"/>
      </top>
      <bottom/>
      <diagonal/>
    </border>
    <border>
      <left style="thin">
        <color rgb="FF1F4E3D"/>
      </left>
      <right/>
      <top/>
      <bottom style="thin">
        <color rgb="FF1F4E3D"/>
      </bottom>
      <diagonal/>
    </border>
    <border>
      <left/>
      <right/>
      <top/>
      <bottom style="thin">
        <color rgb="FF1F4E3D"/>
      </bottom>
      <diagonal/>
    </border>
    <border>
      <left/>
      <right style="thin">
        <color rgb="FF1F4E3D"/>
      </right>
      <top/>
      <bottom style="thin">
        <color rgb="FF1F4E3D"/>
      </bottom>
      <diagonal/>
    </border>
    <border>
      <left style="thin">
        <color rgb="FF1F4E3D"/>
      </left>
      <right/>
      <top style="thin">
        <color rgb="FF1F4E3D"/>
      </top>
      <bottom style="thin">
        <color rgb="FF1F4E3D"/>
      </bottom>
      <diagonal/>
    </border>
    <border>
      <left/>
      <right/>
      <top style="thin">
        <color rgb="FF1F4E3D"/>
      </top>
      <bottom style="thin">
        <color rgb="FF1F4E3D"/>
      </bottom>
      <diagonal/>
    </border>
    <border>
      <left/>
      <right style="thin">
        <color rgb="FF1F4E3D"/>
      </right>
      <top style="thin">
        <color rgb="FF1F4E3D"/>
      </top>
      <bottom style="thin">
        <color rgb="FF1F4E3D"/>
      </bottom>
      <diagonal/>
    </border>
    <border>
      <left/>
      <right/>
      <top/>
      <bottom style="medium">
        <color rgb="FF1F4E3D"/>
      </bottom>
      <diagonal/>
    </border>
    <border>
      <left/>
      <right/>
      <top style="thin">
        <color rgb="FF1F4E3D"/>
      </top>
      <bottom style="medium">
        <color rgb="FF1F4E3D"/>
      </bottom>
      <diagonal/>
    </border>
    <border>
      <left/>
      <right/>
      <top style="thin">
        <color rgb="FF1F4E3D"/>
      </top>
      <bottom style="double">
        <color rgb="FF1F4E3D"/>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9">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164" fontId="2" fillId="0" borderId="0" xfId="0" applyNumberFormat="1" applyFont="1" applyAlignment="1">
      <alignment horizontal="center"/>
    </xf>
    <xf numFmtId="164" fontId="2" fillId="0" borderId="0" xfId="0" applyNumberFormat="1" applyFont="1" applyAlignment="1">
      <alignment horizontal="left"/>
    </xf>
    <xf numFmtId="164" fontId="2" fillId="0" borderId="0" xfId="0" applyNumberFormat="1" applyFont="1" applyAlignment="1">
      <alignment horizontal="right"/>
    </xf>
    <xf numFmtId="164" fontId="3" fillId="0" borderId="0" xfId="0" applyNumberFormat="1" applyFont="1" applyAlignment="1">
      <alignment horizontal="center"/>
    </xf>
    <xf numFmtId="164" fontId="6" fillId="0" borderId="0" xfId="0" applyNumberFormat="1" applyFont="1" applyAlignment="1">
      <alignment horizontal="left"/>
    </xf>
    <xf numFmtId="164" fontId="6" fillId="0" borderId="0" xfId="0" applyNumberFormat="1" applyFont="1" applyAlignment="1">
      <alignment horizontal="center"/>
    </xf>
    <xf numFmtId="0" fontId="11" fillId="6" borderId="0" xfId="0" applyFont="1" applyFill="1"/>
    <xf numFmtId="0" fontId="11" fillId="0" borderId="0" xfId="0" applyFont="1"/>
    <xf numFmtId="0" fontId="12" fillId="6" borderId="0" xfId="0" applyFont="1" applyFill="1"/>
    <xf numFmtId="0" fontId="13" fillId="6" borderId="0" xfId="0" applyFont="1" applyFill="1"/>
    <xf numFmtId="0" fontId="12" fillId="4" borderId="4" xfId="0" applyFont="1" applyFill="1" applyBorder="1" applyAlignment="1">
      <alignment horizontal="left" wrapText="1"/>
    </xf>
    <xf numFmtId="0" fontId="12" fillId="4" borderId="0" xfId="0" applyFont="1" applyFill="1" applyAlignment="1">
      <alignment horizontal="left" wrapText="1"/>
    </xf>
    <xf numFmtId="0" fontId="14" fillId="4" borderId="0" xfId="0" applyFont="1" applyFill="1" applyAlignment="1">
      <alignment horizontal="left" wrapText="1"/>
    </xf>
    <xf numFmtId="0" fontId="14" fillId="4" borderId="5" xfId="0" applyFont="1" applyFill="1" applyBorder="1" applyAlignment="1">
      <alignment horizontal="left" wrapText="1"/>
    </xf>
    <xf numFmtId="0" fontId="11" fillId="4" borderId="4" xfId="0" applyFont="1" applyFill="1" applyBorder="1"/>
    <xf numFmtId="0" fontId="11" fillId="4" borderId="0" xfId="0" applyFont="1" applyFill="1"/>
    <xf numFmtId="0" fontId="11" fillId="5" borderId="0" xfId="0" applyFont="1" applyFill="1"/>
    <xf numFmtId="0" fontId="11" fillId="5" borderId="6" xfId="0" applyFont="1" applyFill="1" applyBorder="1" applyAlignment="1">
      <alignment vertical="top"/>
    </xf>
    <xf numFmtId="0" fontId="11" fillId="5" borderId="7" xfId="0" applyFont="1" applyFill="1" applyBorder="1" applyAlignment="1">
      <alignment vertical="top"/>
    </xf>
    <xf numFmtId="0" fontId="11" fillId="5" borderId="8" xfId="0" applyFont="1" applyFill="1" applyBorder="1" applyAlignment="1">
      <alignment vertical="top"/>
    </xf>
    <xf numFmtId="0" fontId="15" fillId="5" borderId="9" xfId="0" applyFont="1" applyFill="1" applyBorder="1" applyAlignment="1">
      <alignment vertical="top"/>
    </xf>
    <xf numFmtId="0" fontId="11" fillId="5" borderId="0" xfId="0" applyFont="1" applyFill="1" applyAlignment="1">
      <alignment vertical="top"/>
    </xf>
    <xf numFmtId="0" fontId="11" fillId="5" borderId="10" xfId="0" applyFont="1" applyFill="1" applyBorder="1" applyAlignment="1">
      <alignment vertical="top"/>
    </xf>
    <xf numFmtId="0" fontId="11" fillId="5" borderId="9" xfId="0" applyFont="1" applyFill="1" applyBorder="1" applyAlignment="1">
      <alignment vertical="top"/>
    </xf>
    <xf numFmtId="0" fontId="0" fillId="0" borderId="0" xfId="0"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12" fillId="4" borderId="4" xfId="0" applyFont="1" applyFill="1" applyBorder="1" applyAlignment="1">
      <alignment horizontal="left" vertical="top" wrapText="1"/>
    </xf>
    <xf numFmtId="0" fontId="12" fillId="4" borderId="0" xfId="0" applyFont="1" applyFill="1" applyAlignment="1">
      <alignment horizontal="left" vertical="top" wrapText="1"/>
    </xf>
    <xf numFmtId="0" fontId="11" fillId="4" borderId="0" xfId="0" applyFont="1" applyFill="1" applyAlignment="1">
      <alignment horizontal="left" vertical="top"/>
    </xf>
    <xf numFmtId="0" fontId="0" fillId="6" borderId="0" xfId="0" applyFill="1" applyAlignment="1">
      <alignment horizontal="left" vertical="top"/>
    </xf>
    <xf numFmtId="0" fontId="13" fillId="6" borderId="0" xfId="0" applyFont="1" applyFill="1" applyAlignment="1">
      <alignment horizontal="left" vertical="top"/>
    </xf>
    <xf numFmtId="0" fontId="0" fillId="4" borderId="0" xfId="0" applyFill="1" applyAlignment="1">
      <alignment horizontal="left" vertical="top"/>
    </xf>
    <xf numFmtId="0" fontId="11" fillId="5" borderId="0" xfId="0" applyFont="1" applyFill="1" applyAlignment="1">
      <alignment horizontal="left" vertical="top"/>
    </xf>
    <xf numFmtId="0" fontId="11" fillId="0" borderId="0" xfId="0" applyFont="1" applyAlignment="1">
      <alignment horizontal="left" vertical="top"/>
    </xf>
    <xf numFmtId="0" fontId="11" fillId="0" borderId="6" xfId="0" applyFont="1" applyBorder="1" applyAlignment="1">
      <alignment horizontal="left" vertical="top"/>
    </xf>
    <xf numFmtId="0" fontId="11" fillId="0" borderId="7" xfId="0" applyFont="1" applyBorder="1" applyAlignment="1">
      <alignment horizontal="left" vertical="top"/>
    </xf>
    <xf numFmtId="0" fontId="11" fillId="0" borderId="8" xfId="0" applyFont="1" applyBorder="1" applyAlignment="1">
      <alignment horizontal="left" vertical="top"/>
    </xf>
    <xf numFmtId="0" fontId="15" fillId="5" borderId="9" xfId="0" applyFont="1" applyFill="1" applyBorder="1" applyAlignment="1">
      <alignment horizontal="left" vertical="top"/>
    </xf>
    <xf numFmtId="0" fontId="11" fillId="0" borderId="10" xfId="0" applyFont="1" applyBorder="1" applyAlignment="1">
      <alignment horizontal="left" vertical="top"/>
    </xf>
    <xf numFmtId="0" fontId="11" fillId="0" borderId="9" xfId="0" applyFont="1" applyBorder="1" applyAlignment="1">
      <alignment horizontal="left" vertical="top"/>
    </xf>
    <xf numFmtId="0" fontId="0" fillId="0" borderId="11" xfId="0" applyBorder="1" applyAlignment="1">
      <alignment horizontal="left" vertical="top"/>
    </xf>
    <xf numFmtId="0" fontId="16" fillId="6" borderId="0" xfId="0" applyFont="1" applyFill="1" applyAlignment="1">
      <alignment horizontal="left" vertical="top"/>
    </xf>
    <xf numFmtId="164" fontId="2" fillId="6" borderId="0" xfId="0" applyNumberFormat="1" applyFont="1" applyFill="1" applyAlignment="1">
      <alignment horizontal="left"/>
    </xf>
    <xf numFmtId="164" fontId="2" fillId="6" borderId="0" xfId="0" applyNumberFormat="1" applyFont="1" applyFill="1" applyAlignment="1">
      <alignment horizontal="center"/>
    </xf>
    <xf numFmtId="164" fontId="18" fillId="7" borderId="0" xfId="0" applyNumberFormat="1" applyFont="1" applyFill="1" applyAlignment="1">
      <alignment horizontal="left"/>
    </xf>
    <xf numFmtId="164" fontId="18" fillId="7" borderId="0" xfId="0" applyNumberFormat="1" applyFont="1" applyFill="1" applyAlignment="1">
      <alignment horizontal="center"/>
    </xf>
    <xf numFmtId="164" fontId="18" fillId="0" borderId="0" xfId="0" applyNumberFormat="1" applyFont="1" applyAlignment="1">
      <alignment horizontal="center"/>
    </xf>
    <xf numFmtId="164" fontId="6" fillId="0" borderId="3" xfId="0" applyNumberFormat="1" applyFont="1" applyBorder="1" applyAlignment="1">
      <alignment horizontal="center"/>
    </xf>
    <xf numFmtId="164" fontId="6" fillId="0" borderId="3" xfId="0" applyNumberFormat="1" applyFont="1" applyBorder="1" applyAlignment="1">
      <alignment horizontal="right"/>
    </xf>
    <xf numFmtId="164" fontId="6" fillId="0" borderId="0" xfId="0" applyNumberFormat="1" applyFont="1" applyAlignment="1">
      <alignment horizontal="right"/>
    </xf>
    <xf numFmtId="164" fontId="6" fillId="0" borderId="25" xfId="0" applyNumberFormat="1" applyFont="1" applyBorder="1" applyAlignment="1">
      <alignment horizontal="right"/>
    </xf>
    <xf numFmtId="164" fontId="5" fillId="0" borderId="0" xfId="0" applyNumberFormat="1" applyFont="1" applyAlignment="1">
      <alignment horizontal="left"/>
    </xf>
    <xf numFmtId="164" fontId="5" fillId="0" borderId="0" xfId="0" applyNumberFormat="1" applyFont="1" applyAlignment="1">
      <alignment horizontal="center"/>
    </xf>
    <xf numFmtId="165" fontId="5" fillId="0" borderId="0" xfId="0" applyNumberFormat="1" applyFont="1" applyAlignment="1">
      <alignment horizontal="right"/>
    </xf>
    <xf numFmtId="164" fontId="24" fillId="0" borderId="3" xfId="0" applyNumberFormat="1" applyFont="1" applyBorder="1" applyAlignment="1">
      <alignment horizontal="right"/>
    </xf>
    <xf numFmtId="165" fontId="25" fillId="0" borderId="0" xfId="0" applyNumberFormat="1" applyFont="1" applyAlignment="1">
      <alignment horizontal="right"/>
    </xf>
    <xf numFmtId="164" fontId="24" fillId="0" borderId="0" xfId="0" applyNumberFormat="1" applyFont="1" applyAlignment="1">
      <alignment horizontal="right"/>
    </xf>
    <xf numFmtId="164" fontId="2" fillId="0" borderId="20" xfId="0" applyNumberFormat="1" applyFont="1" applyBorder="1" applyAlignment="1">
      <alignment horizontal="left"/>
    </xf>
    <xf numFmtId="164" fontId="2" fillId="0" borderId="20" xfId="0" applyNumberFormat="1" applyFont="1" applyBorder="1" applyAlignment="1">
      <alignment horizontal="center"/>
    </xf>
    <xf numFmtId="164" fontId="6" fillId="0" borderId="0" xfId="0" applyNumberFormat="1" applyFont="1" applyAlignment="1">
      <alignment horizontal="left" vertical="top"/>
    </xf>
    <xf numFmtId="164" fontId="19" fillId="0" borderId="0" xfId="0" applyNumberFormat="1" applyFont="1" applyAlignment="1">
      <alignment vertical="top"/>
    </xf>
    <xf numFmtId="164" fontId="9" fillId="6" borderId="0" xfId="0" applyNumberFormat="1" applyFont="1" applyFill="1" applyAlignment="1">
      <alignment vertical="top"/>
    </xf>
    <xf numFmtId="164" fontId="2" fillId="0" borderId="0" xfId="0" applyNumberFormat="1" applyFont="1" applyAlignment="1">
      <alignment vertical="top"/>
    </xf>
    <xf numFmtId="164" fontId="17" fillId="7" borderId="0" xfId="0" applyNumberFormat="1" applyFont="1" applyFill="1" applyAlignment="1">
      <alignment vertical="top"/>
    </xf>
    <xf numFmtId="164" fontId="6" fillId="0" borderId="0" xfId="0" applyNumberFormat="1" applyFont="1" applyAlignment="1">
      <alignment vertical="top"/>
    </xf>
    <xf numFmtId="164" fontId="3" fillId="0" borderId="0" xfId="0" applyNumberFormat="1" applyFont="1" applyAlignment="1">
      <alignment vertical="top"/>
    </xf>
    <xf numFmtId="164" fontId="20" fillId="0" borderId="0" xfId="0" applyNumberFormat="1" applyFont="1" applyAlignment="1">
      <alignment vertical="top"/>
    </xf>
    <xf numFmtId="164" fontId="21" fillId="0" borderId="0" xfId="0" applyNumberFormat="1" applyFont="1" applyAlignment="1">
      <alignment vertical="top"/>
    </xf>
    <xf numFmtId="164" fontId="22" fillId="0" borderId="0" xfId="0" applyNumberFormat="1" applyFont="1" applyAlignment="1">
      <alignment vertical="top"/>
    </xf>
    <xf numFmtId="164" fontId="2" fillId="0" borderId="20" xfId="0" applyNumberFormat="1" applyFont="1" applyBorder="1" applyAlignment="1">
      <alignment vertical="top"/>
    </xf>
    <xf numFmtId="164" fontId="3" fillId="0" borderId="0" xfId="0" applyNumberFormat="1" applyFont="1" applyAlignment="1">
      <alignment horizontal="left" vertical="top" indent="1"/>
    </xf>
    <xf numFmtId="165" fontId="6" fillId="0" borderId="22" xfId="0" applyNumberFormat="1" applyFont="1" applyBorder="1" applyAlignment="1">
      <alignment horizontal="center"/>
    </xf>
    <xf numFmtId="165" fontId="6" fillId="0" borderId="23" xfId="0" applyNumberFormat="1" applyFont="1" applyBorder="1" applyAlignment="1">
      <alignment horizontal="center"/>
    </xf>
    <xf numFmtId="165" fontId="6" fillId="0" borderId="24" xfId="0" applyNumberFormat="1" applyFont="1" applyBorder="1" applyAlignment="1">
      <alignment horizontal="center"/>
    </xf>
    <xf numFmtId="164" fontId="8" fillId="6" borderId="0" xfId="0" applyNumberFormat="1" applyFont="1" applyFill="1" applyAlignment="1">
      <alignment vertical="top"/>
    </xf>
    <xf numFmtId="164" fontId="7" fillId="6" borderId="0" xfId="0" applyNumberFormat="1" applyFont="1" applyFill="1" applyAlignment="1">
      <alignment horizontal="left"/>
    </xf>
    <xf numFmtId="164" fontId="7" fillId="6" borderId="0" xfId="0" applyNumberFormat="1" applyFont="1" applyFill="1" applyAlignment="1">
      <alignment horizontal="center"/>
    </xf>
    <xf numFmtId="164" fontId="6" fillId="0" borderId="0" xfId="0" applyNumberFormat="1" applyFont="1" applyAlignment="1">
      <alignment horizontal="right" vertical="top" wrapText="1"/>
    </xf>
    <xf numFmtId="165" fontId="2" fillId="0" borderId="0" xfId="0" applyNumberFormat="1" applyFont="1" applyAlignment="1">
      <alignment horizontal="center"/>
    </xf>
    <xf numFmtId="164" fontId="2" fillId="0" borderId="3" xfId="0" applyNumberFormat="1" applyFont="1" applyBorder="1" applyAlignment="1">
      <alignment horizontal="center"/>
    </xf>
    <xf numFmtId="165" fontId="23" fillId="0" borderId="0" xfId="0" applyNumberFormat="1" applyFont="1" applyAlignment="1">
      <alignment horizontal="right" vertical="top"/>
    </xf>
    <xf numFmtId="164" fontId="4" fillId="0" borderId="0" xfId="0" applyNumberFormat="1" applyFont="1" applyAlignment="1">
      <alignment horizontal="center" vertical="top" wrapText="1"/>
    </xf>
    <xf numFmtId="164" fontId="3" fillId="0" borderId="0" xfId="0" applyNumberFormat="1" applyFont="1" applyAlignment="1">
      <alignment horizontal="right"/>
    </xf>
    <xf numFmtId="164" fontId="24" fillId="0" borderId="0" xfId="0" applyNumberFormat="1" applyFont="1" applyAlignment="1">
      <alignment horizontal="center"/>
    </xf>
    <xf numFmtId="165" fontId="24" fillId="0" borderId="0" xfId="0" applyNumberFormat="1" applyFont="1" applyAlignment="1">
      <alignment horizontal="center"/>
    </xf>
    <xf numFmtId="165" fontId="24" fillId="0" borderId="0" xfId="0" applyNumberFormat="1" applyFont="1" applyAlignment="1">
      <alignment horizontal="right" vertical="top"/>
    </xf>
    <xf numFmtId="164" fontId="24" fillId="0" borderId="0" xfId="0" applyNumberFormat="1" applyFont="1" applyAlignment="1">
      <alignment horizontal="right" vertical="top"/>
    </xf>
    <xf numFmtId="165" fontId="6" fillId="0" borderId="22" xfId="0" applyNumberFormat="1" applyFont="1" applyBorder="1" applyAlignment="1">
      <alignment horizontal="right"/>
    </xf>
    <xf numFmtId="165" fontId="6" fillId="0" borderId="23" xfId="0" applyNumberFormat="1" applyFont="1" applyBorder="1" applyAlignment="1">
      <alignment horizontal="right"/>
    </xf>
    <xf numFmtId="165" fontId="6" fillId="0" borderId="24" xfId="0" applyNumberFormat="1" applyFont="1" applyBorder="1" applyAlignment="1">
      <alignment horizontal="right"/>
    </xf>
    <xf numFmtId="164" fontId="3" fillId="0" borderId="0" xfId="0" applyNumberFormat="1" applyFont="1" applyAlignment="1">
      <alignment horizontal="left" vertical="top"/>
    </xf>
    <xf numFmtId="164" fontId="5" fillId="0" borderId="0" xfId="0" applyNumberFormat="1" applyFont="1" applyAlignment="1">
      <alignment horizontal="left" vertical="top" indent="1"/>
    </xf>
    <xf numFmtId="164" fontId="5" fillId="0" borderId="0" xfId="0" applyNumberFormat="1" applyFont="1" applyAlignment="1">
      <alignment horizontal="left" vertical="top" indent="2"/>
    </xf>
    <xf numFmtId="164" fontId="6" fillId="0" borderId="26" xfId="0" applyNumberFormat="1" applyFont="1" applyBorder="1" applyAlignment="1">
      <alignment horizontal="right"/>
    </xf>
    <xf numFmtId="165" fontId="5" fillId="0" borderId="23" xfId="0" applyNumberFormat="1" applyFont="1" applyBorder="1" applyAlignment="1">
      <alignment horizontal="right"/>
    </xf>
    <xf numFmtId="165" fontId="5" fillId="0" borderId="24" xfId="0" applyNumberFormat="1" applyFont="1" applyBorder="1" applyAlignment="1">
      <alignment horizontal="right"/>
    </xf>
    <xf numFmtId="165" fontId="5" fillId="0" borderId="16" xfId="0" applyNumberFormat="1" applyFont="1" applyBorder="1" applyAlignment="1">
      <alignment horizontal="right"/>
    </xf>
    <xf numFmtId="165" fontId="25" fillId="0" borderId="22" xfId="0" applyNumberFormat="1" applyFont="1" applyBorder="1" applyAlignment="1">
      <alignment horizontal="right"/>
    </xf>
    <xf numFmtId="165" fontId="25" fillId="0" borderId="23" xfId="0" applyNumberFormat="1" applyFont="1" applyBorder="1" applyAlignment="1">
      <alignment horizontal="right"/>
    </xf>
    <xf numFmtId="164" fontId="6" fillId="0" borderId="3" xfId="0" applyNumberFormat="1" applyFont="1" applyBorder="1" applyAlignment="1">
      <alignment vertical="top"/>
    </xf>
    <xf numFmtId="164" fontId="23" fillId="0" borderId="22" xfId="0" applyNumberFormat="1" applyFont="1" applyBorder="1" applyAlignment="1">
      <alignment horizontal="right"/>
    </xf>
    <xf numFmtId="164" fontId="2" fillId="0" borderId="22" xfId="0" applyNumberFormat="1" applyFont="1" applyBorder="1" applyAlignment="1">
      <alignment horizontal="right"/>
    </xf>
    <xf numFmtId="164" fontId="2" fillId="0" borderId="23" xfId="0" applyNumberFormat="1" applyFont="1" applyBorder="1" applyAlignment="1">
      <alignment horizontal="right"/>
    </xf>
    <xf numFmtId="164" fontId="5" fillId="0" borderId="0" xfId="0" applyNumberFormat="1" applyFont="1" applyAlignment="1">
      <alignment vertical="top"/>
    </xf>
    <xf numFmtId="164" fontId="2" fillId="0" borderId="0" xfId="0" applyNumberFormat="1" applyFont="1"/>
    <xf numFmtId="164" fontId="6" fillId="0" borderId="3" xfId="0" applyNumberFormat="1" applyFont="1" applyBorder="1"/>
    <xf numFmtId="164" fontId="6" fillId="0" borderId="27" xfId="0" applyNumberFormat="1" applyFont="1" applyBorder="1" applyAlignment="1">
      <alignment horizontal="right"/>
    </xf>
    <xf numFmtId="164" fontId="6" fillId="0" borderId="0" xfId="0" applyNumberFormat="1" applyFont="1" applyAlignment="1">
      <alignment horizontal="left" vertical="top" indent="1"/>
    </xf>
    <xf numFmtId="164" fontId="2" fillId="0" borderId="16" xfId="0" applyNumberFormat="1" applyFont="1" applyBorder="1" applyAlignment="1">
      <alignment horizontal="left"/>
    </xf>
    <xf numFmtId="164" fontId="6" fillId="0" borderId="20" xfId="0" applyNumberFormat="1" applyFont="1" applyBorder="1" applyAlignment="1">
      <alignment vertical="top"/>
    </xf>
    <xf numFmtId="164" fontId="6" fillId="0" borderId="16" xfId="0" applyNumberFormat="1" applyFont="1" applyBorder="1" applyAlignment="1">
      <alignment horizontal="right"/>
    </xf>
    <xf numFmtId="0" fontId="27" fillId="8" borderId="28" xfId="0" applyFont="1" applyFill="1" applyBorder="1" applyAlignment="1">
      <alignment horizontal="left" vertical="center" wrapText="1"/>
    </xf>
    <xf numFmtId="164" fontId="3" fillId="0" borderId="0" xfId="0" applyNumberFormat="1" applyFont="1"/>
    <xf numFmtId="164" fontId="3" fillId="6" borderId="0" xfId="0" applyNumberFormat="1" applyFont="1" applyFill="1"/>
    <xf numFmtId="164" fontId="17" fillId="7" borderId="0" xfId="0" applyNumberFormat="1" applyFont="1" applyFill="1"/>
    <xf numFmtId="164" fontId="3" fillId="7" borderId="0" xfId="0" applyNumberFormat="1" applyFont="1" applyFill="1"/>
    <xf numFmtId="164" fontId="23" fillId="0" borderId="0" xfId="0" applyNumberFormat="1" applyFont="1"/>
    <xf numFmtId="164" fontId="24" fillId="0" borderId="0" xfId="0" applyNumberFormat="1" applyFont="1"/>
    <xf numFmtId="164" fontId="3" fillId="0" borderId="20" xfId="0" applyNumberFormat="1" applyFont="1" applyBorder="1"/>
    <xf numFmtId="164" fontId="10" fillId="0" borderId="0" xfId="0" applyNumberFormat="1" applyFont="1"/>
    <xf numFmtId="164" fontId="10" fillId="0" borderId="20" xfId="0" applyNumberFormat="1" applyFont="1" applyBorder="1"/>
    <xf numFmtId="164" fontId="3" fillId="0" borderId="0" xfId="0" applyNumberFormat="1" applyFont="1" applyAlignment="1">
      <alignment vertical="center" wrapText="1"/>
    </xf>
    <xf numFmtId="164" fontId="28" fillId="6" borderId="0" xfId="0" applyNumberFormat="1" applyFont="1" applyFill="1"/>
    <xf numFmtId="166" fontId="3" fillId="0" borderId="0" xfId="0" applyNumberFormat="1" applyFont="1"/>
    <xf numFmtId="164" fontId="3" fillId="0" borderId="0" xfId="0" applyNumberFormat="1" applyFont="1" applyAlignment="1">
      <alignment vertical="center"/>
    </xf>
    <xf numFmtId="0" fontId="15" fillId="0" borderId="0" xfId="0" applyFont="1" applyAlignment="1">
      <alignment horizontal="left" vertical="top"/>
    </xf>
    <xf numFmtId="0" fontId="15" fillId="0" borderId="10" xfId="0" applyFont="1" applyBorder="1" applyAlignment="1">
      <alignment horizontal="left" vertical="top"/>
    </xf>
    <xf numFmtId="0" fontId="12" fillId="4" borderId="0" xfId="0" applyFont="1" applyFill="1" applyAlignment="1">
      <alignment horizontal="left" vertical="top" wrapText="1"/>
    </xf>
    <xf numFmtId="0" fontId="12" fillId="6" borderId="9" xfId="0" applyFont="1" applyFill="1" applyBorder="1" applyAlignment="1">
      <alignment horizontal="center" vertical="top"/>
    </xf>
    <xf numFmtId="0" fontId="12" fillId="6" borderId="0" xfId="0" applyFont="1" applyFill="1" applyAlignment="1">
      <alignment horizontal="center" vertical="top"/>
    </xf>
    <xf numFmtId="164" fontId="26" fillId="5" borderId="17" xfId="0" applyNumberFormat="1" applyFont="1" applyFill="1" applyBorder="1" applyAlignment="1">
      <alignment horizontal="left" vertical="top" wrapText="1"/>
    </xf>
    <xf numFmtId="164" fontId="26" fillId="5" borderId="3" xfId="0" applyNumberFormat="1" applyFont="1" applyFill="1" applyBorder="1" applyAlignment="1">
      <alignment horizontal="left" vertical="top" wrapText="1"/>
    </xf>
    <xf numFmtId="164" fontId="26" fillId="5" borderId="18" xfId="0" applyNumberFormat="1" applyFont="1" applyFill="1" applyBorder="1" applyAlignment="1">
      <alignment horizontal="left" vertical="top" wrapText="1"/>
    </xf>
    <xf numFmtId="164" fontId="26" fillId="5" borderId="19" xfId="0" applyNumberFormat="1" applyFont="1" applyFill="1" applyBorder="1" applyAlignment="1">
      <alignment horizontal="left" vertical="top" wrapText="1"/>
    </xf>
    <xf numFmtId="164" fontId="26" fillId="5" borderId="20" xfId="0" applyNumberFormat="1" applyFont="1" applyFill="1" applyBorder="1" applyAlignment="1">
      <alignment horizontal="left" vertical="top" wrapText="1"/>
    </xf>
    <xf numFmtId="164" fontId="26" fillId="5" borderId="21" xfId="0" applyNumberFormat="1" applyFont="1" applyFill="1" applyBorder="1" applyAlignment="1">
      <alignment horizontal="left" vertical="top" wrapText="1"/>
    </xf>
    <xf numFmtId="164" fontId="26" fillId="5" borderId="0" xfId="0" applyNumberFormat="1" applyFont="1" applyFill="1" applyAlignment="1">
      <alignment horizontal="center" vertical="top" wrapText="1"/>
    </xf>
    <xf numFmtId="164" fontId="19" fillId="0" borderId="0" xfId="0" applyNumberFormat="1" applyFont="1" applyAlignment="1">
      <alignment horizontal="left" vertical="center" wrapText="1"/>
    </xf>
    <xf numFmtId="164" fontId="19" fillId="0" borderId="0" xfId="0" applyNumberFormat="1" applyFont="1" applyAlignment="1">
      <alignment horizontal="left" vertical="top" wrapText="1"/>
    </xf>
    <xf numFmtId="0" fontId="12" fillId="4" borderId="0" xfId="0" applyFont="1" applyFill="1" applyAlignment="1">
      <alignment horizontal="left" wrapText="1"/>
    </xf>
    <xf numFmtId="0" fontId="12" fillId="4" borderId="5" xfId="0" applyFont="1" applyFill="1" applyBorder="1" applyAlignment="1">
      <alignment horizontal="left" wrapText="1"/>
    </xf>
    <xf numFmtId="0" fontId="12" fillId="6" borderId="14" xfId="0" applyFont="1" applyFill="1" applyBorder="1" applyAlignment="1">
      <alignment horizontal="center" vertical="top"/>
    </xf>
    <xf numFmtId="0" fontId="12" fillId="6" borderId="15" xfId="0" applyFont="1" applyFill="1" applyBorder="1" applyAlignment="1">
      <alignment horizontal="center" vertical="top"/>
    </xf>
    <xf numFmtId="0" fontId="11" fillId="5" borderId="9" xfId="0" applyFont="1" applyFill="1" applyBorder="1" applyAlignment="1">
      <alignment horizontal="center" vertical="top" wrapText="1"/>
    </xf>
    <xf numFmtId="0" fontId="11" fillId="5" borderId="0" xfId="0" applyFont="1" applyFill="1" applyAlignment="1">
      <alignment horizontal="center" vertical="top" wrapText="1"/>
    </xf>
    <xf numFmtId="0" fontId="11" fillId="5" borderId="10" xfId="0" applyFont="1" applyFill="1" applyBorder="1" applyAlignment="1">
      <alignment horizontal="center" vertical="top" wrapText="1"/>
    </xf>
    <xf numFmtId="0" fontId="11" fillId="5" borderId="11" xfId="0" applyFont="1" applyFill="1" applyBorder="1" applyAlignment="1">
      <alignment horizontal="center" vertical="top" wrapText="1"/>
    </xf>
    <xf numFmtId="0" fontId="11" fillId="5" borderId="12" xfId="0" applyFont="1" applyFill="1" applyBorder="1" applyAlignment="1">
      <alignment horizontal="center" vertical="top" wrapText="1"/>
    </xf>
    <xf numFmtId="0" fontId="11" fillId="5" borderId="13" xfId="0" applyFont="1" applyFill="1" applyBorder="1" applyAlignment="1">
      <alignment horizontal="center" vertical="top" wrapText="1"/>
    </xf>
    <xf numFmtId="0" fontId="12" fillId="4" borderId="0" xfId="0" applyFont="1" applyFill="1" applyAlignment="1">
      <alignment horizontal="center" wrapText="1"/>
    </xf>
    <xf numFmtId="0" fontId="12" fillId="4" borderId="5" xfId="0" applyFont="1" applyFill="1" applyBorder="1" applyAlignment="1">
      <alignment horizontal="center" wrapText="1"/>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F4E3D"/>
      <color rgb="FF1F5E3B"/>
      <color rgb="FFC00000"/>
      <color rgb="FF6FAF8C"/>
      <color rgb="FFA9D3BC"/>
      <color rgb="FFF2F2F2"/>
      <color rgb="FF4F8A6B"/>
      <color rgb="FFD9EA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 2'!$AA$22</c:f>
              <c:strCache>
                <c:ptCount val="1"/>
                <c:pt idx="0">
                  <c:v> Margin % </c:v>
                </c:pt>
              </c:strCache>
            </c:strRef>
          </c:tx>
          <c:spPr>
            <a:solidFill>
              <a:srgbClr val="6FAF8C"/>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5301-4D3B-8321-3E0AA93A6DF2}"/>
              </c:ext>
            </c:extLst>
          </c:dPt>
          <c:dLbls>
            <c:dLbl>
              <c:idx val="0"/>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301-4D3B-8321-3E0AA93A6DF2}"/>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2'!$Z$23:$Z$39</c:f>
              <c:strCache>
                <c:ptCount val="17"/>
                <c:pt idx="0">
                  <c:v> Tables (Furniture) </c:v>
                </c:pt>
                <c:pt idx="1">
                  <c:v> Machines (Technology) </c:v>
                </c:pt>
                <c:pt idx="2">
                  <c:v> Supplies (Office Supplies) </c:v>
                </c:pt>
                <c:pt idx="3">
                  <c:v> Chairs (Furniture) </c:v>
                </c:pt>
                <c:pt idx="4">
                  <c:v> Storage (Office Supplies) </c:v>
                </c:pt>
                <c:pt idx="5">
                  <c:v> Bookcases (Furniture) </c:v>
                </c:pt>
                <c:pt idx="6">
                  <c:v> Furnishings (Furniture) </c:v>
                </c:pt>
                <c:pt idx="7">
                  <c:v> Phones (Technology) </c:v>
                </c:pt>
                <c:pt idx="8">
                  <c:v> Fasteners (Office Supplies) </c:v>
                </c:pt>
                <c:pt idx="9">
                  <c:v> Appliances (Office Supplies) </c:v>
                </c:pt>
                <c:pt idx="10">
                  <c:v> Binders (Office Supplies) </c:v>
                </c:pt>
                <c:pt idx="11">
                  <c:v> Art (Office Supplies) </c:v>
                </c:pt>
                <c:pt idx="12">
                  <c:v> Envelopes (Office Supplies) </c:v>
                </c:pt>
                <c:pt idx="13">
                  <c:v> Copiers (Technology) </c:v>
                </c:pt>
                <c:pt idx="14">
                  <c:v> Accessories (Technology) </c:v>
                </c:pt>
                <c:pt idx="15">
                  <c:v> Labels (Office Supplies) </c:v>
                </c:pt>
                <c:pt idx="16">
                  <c:v> Paper (Office Supplies) </c:v>
                </c:pt>
              </c:strCache>
            </c:strRef>
          </c:cat>
          <c:val>
            <c:numRef>
              <c:f>'Dashboard 2'!$AA$23:$AA$39</c:f>
              <c:numCache>
                <c:formatCode>0.0%;\(0.0%\);"-"</c:formatCode>
                <c:ptCount val="17"/>
                <c:pt idx="0">
                  <c:v>-0.08</c:v>
                </c:pt>
                <c:pt idx="1">
                  <c:v>0.08</c:v>
                </c:pt>
                <c:pt idx="2">
                  <c:v>0.09</c:v>
                </c:pt>
                <c:pt idx="3">
                  <c:v>0.09</c:v>
                </c:pt>
                <c:pt idx="4">
                  <c:v>0.1</c:v>
                </c:pt>
                <c:pt idx="5">
                  <c:v>0.11</c:v>
                </c:pt>
                <c:pt idx="6">
                  <c:v>0.12</c:v>
                </c:pt>
                <c:pt idx="7">
                  <c:v>0.13</c:v>
                </c:pt>
                <c:pt idx="8">
                  <c:v>0.14000000000000001</c:v>
                </c:pt>
                <c:pt idx="9">
                  <c:v>0.14000000000000001</c:v>
                </c:pt>
                <c:pt idx="10">
                  <c:v>0.16</c:v>
                </c:pt>
                <c:pt idx="11">
                  <c:v>0.16</c:v>
                </c:pt>
                <c:pt idx="12">
                  <c:v>0.17</c:v>
                </c:pt>
                <c:pt idx="13">
                  <c:v>0.17</c:v>
                </c:pt>
                <c:pt idx="14">
                  <c:v>0.17</c:v>
                </c:pt>
                <c:pt idx="15">
                  <c:v>0.2</c:v>
                </c:pt>
                <c:pt idx="16">
                  <c:v>0.24</c:v>
                </c:pt>
              </c:numCache>
            </c:numRef>
          </c:val>
          <c:extLst>
            <c:ext xmlns:c16="http://schemas.microsoft.com/office/drawing/2014/chart" uri="{C3380CC4-5D6E-409C-BE32-E72D297353CC}">
              <c16:uniqueId val="{00000002-5301-4D3B-8321-3E0AA93A6DF2}"/>
            </c:ext>
          </c:extLst>
        </c:ser>
        <c:dLbls>
          <c:showLegendKey val="0"/>
          <c:showVal val="0"/>
          <c:showCatName val="0"/>
          <c:showSerName val="0"/>
          <c:showPercent val="0"/>
          <c:showBubbleSize val="0"/>
        </c:dLbls>
        <c:gapWidth val="182"/>
        <c:axId val="40867903"/>
        <c:axId val="40865743"/>
      </c:barChart>
      <c:catAx>
        <c:axId val="40867903"/>
        <c:scaling>
          <c:orientation val="minMax"/>
        </c:scaling>
        <c:delete val="0"/>
        <c:axPos val="l"/>
        <c:numFmt formatCode="General" sourceLinked="1"/>
        <c:majorTickMark val="none"/>
        <c:minorTickMark val="none"/>
        <c:tickLblPos val="low"/>
        <c:spPr>
          <a:noFill/>
          <a:ln w="889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40865743"/>
        <c:crosses val="autoZero"/>
        <c:auto val="1"/>
        <c:lblAlgn val="ctr"/>
        <c:lblOffset val="100"/>
        <c:noMultiLvlLbl val="0"/>
      </c:catAx>
      <c:valAx>
        <c:axId val="40865743"/>
        <c:scaling>
          <c:orientation val="minMax"/>
          <c:max val="0.33000000000000007"/>
          <c:min val="-0.1"/>
        </c:scaling>
        <c:delete val="0"/>
        <c:axPos val="b"/>
        <c:numFmt formatCode="0%;\-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 2'!$Y$43</c:f>
              <c:strCache>
                <c:ptCount val="1"/>
                <c:pt idx="0">
                  <c:v> Revenue </c:v>
                </c:pt>
              </c:strCache>
            </c:strRef>
          </c:tx>
          <c:spPr>
            <a:solidFill>
              <a:schemeClr val="accent3"/>
            </a:solidFill>
            <a:ln>
              <a:noFill/>
            </a:ln>
            <a:effectLst/>
          </c:spPr>
          <c:invertIfNegative val="0"/>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2'!$Y$44:$Y$56</c:f>
              <c:numCache>
                <c:formatCode>_(#,##0_);\(#,##0\);_("-"_);_(@_)</c:formatCode>
                <c:ptCount val="13"/>
                <c:pt idx="0">
                  <c:v>2822302.52</c:v>
                </c:pt>
                <c:pt idx="1">
                  <c:v>1600907.04</c:v>
                </c:pt>
                <c:pt idx="2">
                  <c:v>1248165.6000000001</c:v>
                </c:pt>
                <c:pt idx="3">
                  <c:v>1100184.6100000001</c:v>
                </c:pt>
                <c:pt idx="4">
                  <c:v>884423.17</c:v>
                </c:pt>
                <c:pt idx="5">
                  <c:v>848309.78</c:v>
                </c:pt>
                <c:pt idx="6">
                  <c:v>806161.31</c:v>
                </c:pt>
                <c:pt idx="7">
                  <c:v>783773.21</c:v>
                </c:pt>
                <c:pt idx="8">
                  <c:v>752826.57</c:v>
                </c:pt>
                <c:pt idx="9">
                  <c:v>725457.82</c:v>
                </c:pt>
                <c:pt idx="10">
                  <c:v>678781.24</c:v>
                </c:pt>
                <c:pt idx="11">
                  <c:v>324280.86</c:v>
                </c:pt>
                <c:pt idx="12">
                  <c:v>66928.17</c:v>
                </c:pt>
              </c:numCache>
            </c:numRef>
          </c:val>
          <c:extLst>
            <c:ext xmlns:c16="http://schemas.microsoft.com/office/drawing/2014/chart" uri="{C3380CC4-5D6E-409C-BE32-E72D297353CC}">
              <c16:uniqueId val="{00000000-BB3A-4A72-976D-81438BE9AEB4}"/>
            </c:ext>
          </c:extLst>
        </c:ser>
        <c:dLbls>
          <c:showLegendKey val="0"/>
          <c:showVal val="0"/>
          <c:showCatName val="0"/>
          <c:showSerName val="0"/>
          <c:showPercent val="0"/>
          <c:showBubbleSize val="0"/>
        </c:dLbls>
        <c:gapWidth val="150"/>
        <c:axId val="795778503"/>
        <c:axId val="795781023"/>
      </c:barChart>
      <c:lineChart>
        <c:grouping val="standard"/>
        <c:varyColors val="0"/>
        <c:ser>
          <c:idx val="1"/>
          <c:order val="1"/>
          <c:tx>
            <c:strRef>
              <c:f>'Dashboard 2'!$Z$43</c:f>
              <c:strCache>
                <c:ptCount val="1"/>
                <c:pt idx="0">
                  <c:v> OC Margin %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2'!$Z$44:$Z$56</c:f>
              <c:numCache>
                <c:formatCode>0.0%;\(0.0%\);"-"</c:formatCode>
                <c:ptCount val="13"/>
                <c:pt idx="0">
                  <c:v>0.11</c:v>
                </c:pt>
                <c:pt idx="1">
                  <c:v>0.09</c:v>
                </c:pt>
                <c:pt idx="2">
                  <c:v>0.16</c:v>
                </c:pt>
                <c:pt idx="3">
                  <c:v>0.11</c:v>
                </c:pt>
                <c:pt idx="4">
                  <c:v>0.02</c:v>
                </c:pt>
                <c:pt idx="5">
                  <c:v>0.2</c:v>
                </c:pt>
                <c:pt idx="6">
                  <c:v>0.05</c:v>
                </c:pt>
                <c:pt idx="7">
                  <c:v>0.11</c:v>
                </c:pt>
                <c:pt idx="8">
                  <c:v>0.18</c:v>
                </c:pt>
                <c:pt idx="9">
                  <c:v>0.15</c:v>
                </c:pt>
                <c:pt idx="10">
                  <c:v>0.13</c:v>
                </c:pt>
                <c:pt idx="11">
                  <c:v>0.11</c:v>
                </c:pt>
                <c:pt idx="12">
                  <c:v>0.27</c:v>
                </c:pt>
              </c:numCache>
            </c:numRef>
          </c:val>
          <c:smooth val="0"/>
          <c:extLst>
            <c:ext xmlns:c16="http://schemas.microsoft.com/office/drawing/2014/chart" uri="{C3380CC4-5D6E-409C-BE32-E72D297353CC}">
              <c16:uniqueId val="{00000001-BB3A-4A72-976D-81438BE9AEB4}"/>
            </c:ext>
          </c:extLst>
        </c:ser>
        <c:dLbls>
          <c:showLegendKey val="0"/>
          <c:showVal val="0"/>
          <c:showCatName val="0"/>
          <c:showSerName val="0"/>
          <c:showPercent val="0"/>
          <c:showBubbleSize val="0"/>
        </c:dLbls>
        <c:marker val="1"/>
        <c:smooth val="0"/>
        <c:axId val="2043291240"/>
        <c:axId val="2043289800"/>
      </c:lineChart>
      <c:catAx>
        <c:axId val="795778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81023"/>
        <c:crosses val="autoZero"/>
        <c:auto val="1"/>
        <c:lblAlgn val="ctr"/>
        <c:lblOffset val="100"/>
        <c:noMultiLvlLbl val="0"/>
      </c:catAx>
      <c:valAx>
        <c:axId val="795781023"/>
        <c:scaling>
          <c:orientation val="minMax"/>
        </c:scaling>
        <c:delete val="0"/>
        <c:axPos val="l"/>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795778503"/>
        <c:crosses val="autoZero"/>
        <c:crossBetween val="between"/>
      </c:valAx>
      <c:valAx>
        <c:axId val="2043289800"/>
        <c:scaling>
          <c:orientation val="minMax"/>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91240"/>
        <c:crosses val="max"/>
        <c:crossBetween val="between"/>
      </c:valAx>
      <c:catAx>
        <c:axId val="2043291240"/>
        <c:scaling>
          <c:orientation val="minMax"/>
        </c:scaling>
        <c:delete val="1"/>
        <c:axPos val="b"/>
        <c:numFmt formatCode="General" sourceLinked="1"/>
        <c:majorTickMark val="out"/>
        <c:minorTickMark val="none"/>
        <c:tickLblPos val="nextTo"/>
        <c:crossAx val="2043289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4710969984138"/>
          <c:y val="5.047206008379012E-2"/>
          <c:w val="0.74189195873025293"/>
          <c:h val="0.73849330965204985"/>
        </c:manualLayout>
      </c:layout>
      <c:barChart>
        <c:barDir val="col"/>
        <c:grouping val="clustered"/>
        <c:varyColors val="0"/>
        <c:ser>
          <c:idx val="3"/>
          <c:order val="3"/>
          <c:tx>
            <c:strRef>
              <c:f>'Dashboard 2'!$X$9:$Z$9</c:f>
              <c:strCache>
                <c:ptCount val="3"/>
                <c:pt idx="0">
                  <c:v> Total Revenue </c:v>
                </c:pt>
              </c:strCache>
            </c:strRef>
          </c:tx>
          <c:spPr>
            <a:solidFill>
              <a:srgbClr val="1F4E3D"/>
            </a:solidFill>
            <a:ln>
              <a:noFill/>
            </a:ln>
            <a:effectLst/>
          </c:spPr>
          <c:invertIfNegative val="0"/>
          <c:cat>
            <c:strRef>
              <c:f>'Dashboard 2'!$AA$5:$AD$5</c:f>
              <c:strCache>
                <c:ptCount val="4"/>
                <c:pt idx="0">
                  <c:v> 2011A </c:v>
                </c:pt>
                <c:pt idx="1">
                  <c:v> 2012A </c:v>
                </c:pt>
                <c:pt idx="2">
                  <c:v> 2013A </c:v>
                </c:pt>
                <c:pt idx="3">
                  <c:v> 2014A </c:v>
                </c:pt>
              </c:strCache>
            </c:strRef>
          </c:cat>
          <c:val>
            <c:numRef>
              <c:f>'Dashboard 2'!$AA$9:$AD$9</c:f>
              <c:numCache>
                <c:formatCode>_(#,##0_);\(#,##0\);_("-"_);_(@_)</c:formatCode>
                <c:ptCount val="4"/>
                <c:pt idx="0">
                  <c:v>2259450.89</c:v>
                </c:pt>
                <c:pt idx="1">
                  <c:v>2677438.7000000002</c:v>
                </c:pt>
                <c:pt idx="2">
                  <c:v>3405746.44</c:v>
                </c:pt>
                <c:pt idx="3">
                  <c:v>4299865.87</c:v>
                </c:pt>
              </c:numCache>
            </c:numRef>
          </c:val>
          <c:extLst>
            <c:ext xmlns:c16="http://schemas.microsoft.com/office/drawing/2014/chart" uri="{C3380CC4-5D6E-409C-BE32-E72D297353CC}">
              <c16:uniqueId val="{00000000-62B1-4B43-9E26-523394FA2142}"/>
            </c:ext>
          </c:extLst>
        </c:ser>
        <c:dLbls>
          <c:showLegendKey val="0"/>
          <c:showVal val="0"/>
          <c:showCatName val="0"/>
          <c:showSerName val="0"/>
          <c:showPercent val="0"/>
          <c:showBubbleSize val="0"/>
        </c:dLbls>
        <c:gapWidth val="150"/>
        <c:axId val="795780303"/>
        <c:axId val="795773463"/>
        <c:extLst>
          <c:ext xmlns:c15="http://schemas.microsoft.com/office/drawing/2012/chart" uri="{02D57815-91ED-43cb-92C2-25804820EDAC}">
            <c15:filteredBarSeries>
              <c15:ser>
                <c:idx val="0"/>
                <c:order val="0"/>
                <c:tx>
                  <c:strRef>
                    <c:extLst>
                      <c:ext uri="{02D57815-91ED-43cb-92C2-25804820EDAC}">
                        <c15:formulaRef>
                          <c15:sqref>'Dashboard 2'!$X$6:$Z$6</c15:sqref>
                        </c15:formulaRef>
                      </c:ext>
                    </c:extLst>
                    <c:strCache>
                      <c:ptCount val="3"/>
                      <c:pt idx="0">
                        <c:v> Furniture </c:v>
                      </c:pt>
                    </c:strCache>
                  </c:strRef>
                </c:tx>
                <c:spPr>
                  <a:solidFill>
                    <a:schemeClr val="accent1"/>
                  </a:solidFill>
                  <a:ln>
                    <a:noFill/>
                  </a:ln>
                  <a:effectLst/>
                </c:spPr>
                <c:invertIfNegative val="0"/>
                <c:cat>
                  <c:strRef>
                    <c:extLst>
                      <c:ex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c:ext uri="{02D57815-91ED-43cb-92C2-25804820EDAC}">
                        <c15:formulaRef>
                          <c15:sqref>'Dashboard 2'!$AA$6:$AD$6</c15:sqref>
                        </c15:formulaRef>
                      </c:ext>
                    </c:extLst>
                    <c:numCache>
                      <c:formatCode>_(#,##0_);\(#,##0\);_("-"_);_(@_)</c:formatCode>
                      <c:ptCount val="4"/>
                      <c:pt idx="0">
                        <c:v>756192.38</c:v>
                      </c:pt>
                      <c:pt idx="1">
                        <c:v>858902.56</c:v>
                      </c:pt>
                      <c:pt idx="2">
                        <c:v>1117723.55</c:v>
                      </c:pt>
                      <c:pt idx="3">
                        <c:v>1378055.69</c:v>
                      </c:pt>
                    </c:numCache>
                  </c:numRef>
                </c:val>
                <c:extLst>
                  <c:ext xmlns:c16="http://schemas.microsoft.com/office/drawing/2014/chart" uri="{C3380CC4-5D6E-409C-BE32-E72D297353CC}">
                    <c16:uniqueId val="{00000002-62B1-4B43-9E26-523394FA2142}"/>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'Dashboard 2'!$X$7:$Z$7</c15:sqref>
                        </c15:formulaRef>
                      </c:ext>
                    </c:extLst>
                    <c:strCache>
                      <c:ptCount val="3"/>
                      <c:pt idx="0">
                        <c:v> Office Supplies </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xmlns:c15="http://schemas.microsoft.com/office/drawing/2012/chart">
                      <c:ext xmlns:c15="http://schemas.microsoft.com/office/drawing/2012/chart" uri="{02D57815-91ED-43cb-92C2-25804820EDAC}">
                        <c15:formulaRef>
                          <c15:sqref>'Dashboard 2'!$AA$7:$AD$7</c15:sqref>
                        </c15:formulaRef>
                      </c:ext>
                    </c:extLst>
                    <c:numCache>
                      <c:formatCode>_(#,##0_);\(#,##0\);_("-"_);_(@_)</c:formatCode>
                      <c:ptCount val="4"/>
                      <c:pt idx="0">
                        <c:v>675606.45</c:v>
                      </c:pt>
                      <c:pt idx="1">
                        <c:v>795094.63</c:v>
                      </c:pt>
                      <c:pt idx="2">
                        <c:v>1010717.64</c:v>
                      </c:pt>
                      <c:pt idx="3">
                        <c:v>1305651.51</c:v>
                      </c:pt>
                    </c:numCache>
                  </c:numRef>
                </c:val>
                <c:extLst xmlns:c15="http://schemas.microsoft.com/office/drawing/2012/chart">
                  <c:ext xmlns:c16="http://schemas.microsoft.com/office/drawing/2014/chart" uri="{C3380CC4-5D6E-409C-BE32-E72D297353CC}">
                    <c16:uniqueId val="{00000003-62B1-4B43-9E26-523394FA2142}"/>
                  </c:ext>
                </c:extLst>
              </c15:ser>
            </c15:filteredBarSeries>
          </c:ext>
        </c:extLst>
      </c:barChart>
      <c:lineChart>
        <c:grouping val="standard"/>
        <c:varyColors val="0"/>
        <c:ser>
          <c:idx val="5"/>
          <c:order val="5"/>
          <c:tx>
            <c:strRef>
              <c:f>'Dashboard 2'!$X$11:$Z$11</c:f>
              <c:strCache>
                <c:ptCount val="3"/>
                <c:pt idx="0">
                  <c:v> OC Margin % </c:v>
                </c:pt>
              </c:strCache>
            </c:strRef>
          </c:tx>
          <c:spPr>
            <a:ln w="28575" cap="rnd">
              <a:solidFill>
                <a:schemeClr val="accent2"/>
              </a:solidFill>
              <a:prstDash val="sysDash"/>
              <a:round/>
            </a:ln>
            <a:effectLst>
              <a:softEdge rad="0"/>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2'!$AA$5:$AD$5</c:f>
              <c:strCache>
                <c:ptCount val="4"/>
                <c:pt idx="0">
                  <c:v> 2011A </c:v>
                </c:pt>
                <c:pt idx="1">
                  <c:v> 2012A </c:v>
                </c:pt>
                <c:pt idx="2">
                  <c:v> 2013A </c:v>
                </c:pt>
                <c:pt idx="3">
                  <c:v> 2014A </c:v>
                </c:pt>
              </c:strCache>
            </c:strRef>
          </c:cat>
          <c:val>
            <c:numRef>
              <c:f>'Dashboard 2'!$AA$11:$AD$11</c:f>
              <c:numCache>
                <c:formatCode>0.0%;\(0.0%\);"-"</c:formatCode>
                <c:ptCount val="4"/>
                <c:pt idx="0">
                  <c:v>0.11019999999999999</c:v>
                </c:pt>
                <c:pt idx="1">
                  <c:v>0.1148</c:v>
                </c:pt>
                <c:pt idx="2">
                  <c:v>0.1195</c:v>
                </c:pt>
                <c:pt idx="3">
                  <c:v>0.1173</c:v>
                </c:pt>
              </c:numCache>
            </c:numRef>
          </c:val>
          <c:smooth val="1"/>
          <c:extLst>
            <c:ext xmlns:c16="http://schemas.microsoft.com/office/drawing/2014/chart" uri="{C3380CC4-5D6E-409C-BE32-E72D297353CC}">
              <c16:uniqueId val="{00000001-62B1-4B43-9E26-523394FA2142}"/>
            </c:ext>
          </c:extLst>
        </c:ser>
        <c:dLbls>
          <c:showLegendKey val="0"/>
          <c:showVal val="0"/>
          <c:showCatName val="0"/>
          <c:showSerName val="0"/>
          <c:showPercent val="0"/>
          <c:showBubbleSize val="0"/>
        </c:dLbls>
        <c:marker val="1"/>
        <c:smooth val="0"/>
        <c:axId val="40890943"/>
        <c:axId val="40890583"/>
        <c:extLst>
          <c:ext xmlns:c15="http://schemas.microsoft.com/office/drawing/2012/chart" uri="{02D57815-91ED-43cb-92C2-25804820EDAC}">
            <c15:filteredLineSeries>
              <c15:ser>
                <c:idx val="2"/>
                <c:order val="2"/>
                <c:tx>
                  <c:strRef>
                    <c:extLst>
                      <c:ext uri="{02D57815-91ED-43cb-92C2-25804820EDAC}">
                        <c15:formulaRef>
                          <c15:sqref>'Dashboard 2'!$X$8:$Z$8</c15:sqref>
                        </c15:formulaRef>
                      </c:ext>
                    </c:extLst>
                    <c:strCache>
                      <c:ptCount val="3"/>
                      <c:pt idx="0">
                        <c:v> Technology </c:v>
                      </c:pt>
                    </c:strCache>
                  </c:strRef>
                </c:tx>
                <c:spPr>
                  <a:ln w="28575" cap="rnd">
                    <a:solidFill>
                      <a:schemeClr val="accent3"/>
                    </a:solidFill>
                    <a:round/>
                  </a:ln>
                  <a:effectLst/>
                </c:spPr>
                <c:marker>
                  <c:symbol val="none"/>
                </c:marker>
                <c:cat>
                  <c:strRef>
                    <c:extLst>
                      <c:ex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c:ext uri="{02D57815-91ED-43cb-92C2-25804820EDAC}">
                        <c15:formulaRef>
                          <c15:sqref>'Dashboard 2'!$AA$8:$AD$8</c15:sqref>
                        </c15:formulaRef>
                      </c:ext>
                    </c:extLst>
                    <c:numCache>
                      <c:formatCode>_(#,##0_);\(#,##0\);_("-"_);_(@_)</c:formatCode>
                      <c:ptCount val="4"/>
                      <c:pt idx="0">
                        <c:v>827652.06</c:v>
                      </c:pt>
                      <c:pt idx="1">
                        <c:v>1023441.51</c:v>
                      </c:pt>
                      <c:pt idx="2">
                        <c:v>1277305.25</c:v>
                      </c:pt>
                      <c:pt idx="3">
                        <c:v>1616158.67</c:v>
                      </c:pt>
                    </c:numCache>
                  </c:numRef>
                </c:val>
                <c:smooth val="0"/>
                <c:extLst>
                  <c:ext xmlns:c16="http://schemas.microsoft.com/office/drawing/2014/chart" uri="{C3380CC4-5D6E-409C-BE32-E72D297353CC}">
                    <c16:uniqueId val="{00000004-62B1-4B43-9E26-523394FA2142}"/>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'Dashboard 2'!$X$10:$Z$10</c15:sqref>
                        </c15:formulaRef>
                      </c:ext>
                    </c:extLst>
                    <c:strCache>
                      <c:ptCount val="3"/>
                      <c:pt idx="0">
                        <c:v> Total Revenue </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xmlns:c15="http://schemas.microsoft.com/office/drawing/2012/chart">
                      <c:ext xmlns:c15="http://schemas.microsoft.com/office/drawing/2012/chart" uri="{02D57815-91ED-43cb-92C2-25804820EDAC}">
                        <c15:formulaRef>
                          <c15:sqref>'Dashboard 2'!$AA$10:$AD$10</c15:sqref>
                        </c15:formulaRef>
                      </c:ext>
                    </c:extLst>
                    <c:numCache>
                      <c:formatCode>_(#,##0_);\(#,##0\);_("-"_);_(@_)</c:formatCode>
                      <c:ptCount val="4"/>
                    </c:numCache>
                  </c:numRef>
                </c:val>
                <c:smooth val="0"/>
                <c:extLst xmlns:c15="http://schemas.microsoft.com/office/drawing/2012/chart">
                  <c:ext xmlns:c16="http://schemas.microsoft.com/office/drawing/2014/chart" uri="{C3380CC4-5D6E-409C-BE32-E72D297353CC}">
                    <c16:uniqueId val="{00000005-62B1-4B43-9E26-523394FA2142}"/>
                  </c:ext>
                </c:extLst>
              </c15:ser>
            </c15:filteredLineSeries>
          </c:ext>
        </c:extLst>
      </c:lineChart>
      <c:catAx>
        <c:axId val="79578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73463"/>
        <c:crosses val="autoZero"/>
        <c:auto val="1"/>
        <c:lblAlgn val="ctr"/>
        <c:lblOffset val="100"/>
        <c:noMultiLvlLbl val="0"/>
      </c:catAx>
      <c:valAx>
        <c:axId val="795773463"/>
        <c:scaling>
          <c:orientation val="minMax"/>
        </c:scaling>
        <c:delete val="0"/>
        <c:axPos val="l"/>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80303"/>
        <c:crosses val="autoZero"/>
        <c:crossBetween val="between"/>
      </c:valAx>
      <c:valAx>
        <c:axId val="40890583"/>
        <c:scaling>
          <c:orientation val="minMax"/>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0943"/>
        <c:crosses val="max"/>
        <c:crossBetween val="between"/>
      </c:valAx>
      <c:catAx>
        <c:axId val="40890943"/>
        <c:scaling>
          <c:orientation val="minMax"/>
        </c:scaling>
        <c:delete val="1"/>
        <c:axPos val="b"/>
        <c:numFmt formatCode="General" sourceLinked="1"/>
        <c:majorTickMark val="out"/>
        <c:minorTickMark val="none"/>
        <c:tickLblPos val="nextTo"/>
        <c:crossAx val="40890583"/>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'Dashboard 2'!$Y$60</c:f>
              <c:strCache>
                <c:ptCount val="1"/>
                <c:pt idx="0">
                  <c:v> Revenue Shares </c:v>
                </c:pt>
              </c:strCache>
            </c:strRef>
          </c:tx>
          <c:spPr>
            <a:ln>
              <a:noFill/>
            </a:ln>
          </c:spPr>
          <c:dPt>
            <c:idx val="0"/>
            <c:bubble3D val="0"/>
            <c:spPr>
              <a:solidFill>
                <a:schemeClr val="accent3">
                  <a:lumMod val="75000"/>
                </a:schemeClr>
              </a:solidFill>
              <a:ln w="19050">
                <a:noFill/>
              </a:ln>
              <a:effectLst/>
            </c:spPr>
            <c:extLst>
              <c:ext xmlns:c16="http://schemas.microsoft.com/office/drawing/2014/chart" uri="{C3380CC4-5D6E-409C-BE32-E72D297353CC}">
                <c16:uniqueId val="{00000001-B3D2-4F60-BD25-D1B2D18FCE79}"/>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B3D2-4F60-BD25-D1B2D18FCE79}"/>
              </c:ext>
            </c:extLst>
          </c:dPt>
          <c:dPt>
            <c:idx val="2"/>
            <c:bubble3D val="0"/>
            <c:spPr>
              <a:solidFill>
                <a:schemeClr val="accent3"/>
              </a:solidFill>
              <a:ln w="19050">
                <a:noFill/>
              </a:ln>
              <a:effectLst/>
            </c:spPr>
            <c:extLst>
              <c:ext xmlns:c16="http://schemas.microsoft.com/office/drawing/2014/chart" uri="{C3380CC4-5D6E-409C-BE32-E72D297353CC}">
                <c16:uniqueId val="{00000005-B3D2-4F60-BD25-D1B2D18FCE79}"/>
              </c:ext>
            </c:extLst>
          </c:dPt>
          <c:dLbls>
            <c:dLbl>
              <c:idx val="0"/>
              <c:layout>
                <c:manualLayout>
                  <c:x val="0.1595419690801505"/>
                  <c:y val="-3.704564613560852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D2-4F60-BD25-D1B2D18FCE79}"/>
                </c:ext>
              </c:extLst>
            </c:dLbl>
            <c:dLbl>
              <c:idx val="1"/>
              <c:layout>
                <c:manualLayout>
                  <c:x val="-0.14081287828814129"/>
                  <c:y val="0.1442964908494822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D2-4F60-BD25-D1B2D18FCE79}"/>
                </c:ext>
              </c:extLst>
            </c:dLbl>
            <c:dLbl>
              <c:idx val="2"/>
              <c:layout>
                <c:manualLayout>
                  <c:x val="-0.12103467571801139"/>
                  <c:y val="-0.123297671375306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D2-4F60-BD25-D1B2D18FCE7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2'!$X$61:$X$63</c:f>
              <c:strCache>
                <c:ptCount val="3"/>
                <c:pt idx="0">
                  <c:v> Consumer </c:v>
                </c:pt>
                <c:pt idx="1">
                  <c:v> Corporate </c:v>
                </c:pt>
                <c:pt idx="2">
                  <c:v> Home Office </c:v>
                </c:pt>
              </c:strCache>
            </c:strRef>
          </c:cat>
          <c:val>
            <c:numRef>
              <c:f>'Dashboard 2'!$Y$61:$Y$63</c:f>
              <c:numCache>
                <c:formatCode>0.0%;\(0.0%\);"-"</c:formatCode>
                <c:ptCount val="3"/>
                <c:pt idx="0">
                  <c:v>0.51479999999999992</c:v>
                </c:pt>
                <c:pt idx="1">
                  <c:v>0.30249999999999999</c:v>
                </c:pt>
                <c:pt idx="2">
                  <c:v>0.1827</c:v>
                </c:pt>
              </c:numCache>
            </c:numRef>
          </c:val>
          <c:extLst>
            <c:ext xmlns:c16="http://schemas.microsoft.com/office/drawing/2014/chart" uri="{C3380CC4-5D6E-409C-BE32-E72D297353CC}">
              <c16:uniqueId val="{00000006-B3D2-4F60-BD25-D1B2D18FCE7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91719303648608"/>
          <c:y val="3.3130487162825552E-2"/>
          <c:w val="0.7961247699928512"/>
          <c:h val="0.82834376022728895"/>
        </c:manualLayout>
      </c:layout>
      <c:barChart>
        <c:barDir val="bar"/>
        <c:grouping val="clustered"/>
        <c:varyColors val="0"/>
        <c:ser>
          <c:idx val="0"/>
          <c:order val="0"/>
          <c:tx>
            <c:strRef>
              <c:f>'Dashboard 2'!$AA$15</c:f>
              <c:strCache>
                <c:ptCount val="1"/>
                <c:pt idx="0">
                  <c:v> Revenue Share % </c:v>
                </c:pt>
              </c:strCache>
            </c:strRef>
          </c:tx>
          <c:spPr>
            <a:solidFill>
              <a:schemeClr val="bg1">
                <a:lumMod val="75000"/>
              </a:schemeClr>
            </a:solidFill>
            <a:ln>
              <a:noFill/>
            </a:ln>
            <a:effectLst/>
          </c:spPr>
          <c:invertIfNegative val="0"/>
          <c:dPt>
            <c:idx val="0"/>
            <c:invertIfNegative val="0"/>
            <c:bubble3D val="0"/>
            <c:spPr>
              <a:solidFill>
                <a:srgbClr val="7F7F7F"/>
              </a:solidFill>
              <a:ln>
                <a:noFill/>
              </a:ln>
              <a:effectLst/>
            </c:spPr>
            <c:extLst>
              <c:ext xmlns:c16="http://schemas.microsoft.com/office/drawing/2014/chart" uri="{C3380CC4-5D6E-409C-BE32-E72D297353CC}">
                <c16:uniqueId val="{00000001-0C7D-4B0F-AE1F-03E884A8E7C8}"/>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0C7D-4B0F-AE1F-03E884A8E7C8}"/>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5-0C7D-4B0F-AE1F-03E884A8E7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2'!$X$16:$Z$18</c:f>
              <c:strCache>
                <c:ptCount val="3"/>
                <c:pt idx="0">
                  <c:v> Furniture </c:v>
                </c:pt>
                <c:pt idx="1">
                  <c:v> Office Supplies </c:v>
                </c:pt>
                <c:pt idx="2">
                  <c:v> Technology </c:v>
                </c:pt>
              </c:strCache>
            </c:strRef>
          </c:cat>
          <c:val>
            <c:numRef>
              <c:f>'Dashboard 2'!$AA$16:$AA$18</c:f>
              <c:numCache>
                <c:formatCode>0.0%;\(0.0%\);"-"</c:formatCode>
                <c:ptCount val="3"/>
                <c:pt idx="0">
                  <c:v>0.32520000000000004</c:v>
                </c:pt>
                <c:pt idx="1">
                  <c:v>0.29960000000000003</c:v>
                </c:pt>
                <c:pt idx="2">
                  <c:v>0.37530000000000002</c:v>
                </c:pt>
              </c:numCache>
            </c:numRef>
          </c:val>
          <c:extLst>
            <c:ext xmlns:c16="http://schemas.microsoft.com/office/drawing/2014/chart" uri="{C3380CC4-5D6E-409C-BE32-E72D297353CC}">
              <c16:uniqueId val="{00000006-0C7D-4B0F-AE1F-03E884A8E7C8}"/>
            </c:ext>
          </c:extLst>
        </c:ser>
        <c:ser>
          <c:idx val="1"/>
          <c:order val="1"/>
          <c:tx>
            <c:strRef>
              <c:f>'Dashboard 2'!$AB$15</c:f>
              <c:strCache>
                <c:ptCount val="1"/>
                <c:pt idx="0">
                  <c:v> Profit Contribution % </c:v>
                </c:pt>
              </c:strCache>
            </c:strRef>
          </c:tx>
          <c:spPr>
            <a:solidFill>
              <a:srgbClr val="1F4E3D"/>
            </a:solidFill>
            <a:ln>
              <a:noFill/>
            </a:ln>
            <a:effectLst/>
          </c:spPr>
          <c:invertIfNegative val="0"/>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8-0C7D-4B0F-AE1F-03E884A8E7C8}"/>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A-0C7D-4B0F-AE1F-03E884A8E7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5E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2'!$X$16:$Z$18</c:f>
              <c:strCache>
                <c:ptCount val="3"/>
                <c:pt idx="0">
                  <c:v> Furniture </c:v>
                </c:pt>
                <c:pt idx="1">
                  <c:v> Office Supplies </c:v>
                </c:pt>
                <c:pt idx="2">
                  <c:v> Technology </c:v>
                </c:pt>
              </c:strCache>
            </c:strRef>
          </c:cat>
          <c:val>
            <c:numRef>
              <c:f>'Dashboard 2'!$AB$16:$AB$18</c:f>
              <c:numCache>
                <c:formatCode>0.0%;\(0.0%\);"-"</c:formatCode>
                <c:ptCount val="3"/>
                <c:pt idx="0">
                  <c:v>0.19440000000000002</c:v>
                </c:pt>
                <c:pt idx="1">
                  <c:v>0.3533</c:v>
                </c:pt>
                <c:pt idx="2">
                  <c:v>0.45229999999999998</c:v>
                </c:pt>
              </c:numCache>
            </c:numRef>
          </c:val>
          <c:extLst>
            <c:ext xmlns:c16="http://schemas.microsoft.com/office/drawing/2014/chart" uri="{C3380CC4-5D6E-409C-BE32-E72D297353CC}">
              <c16:uniqueId val="{0000000B-0C7D-4B0F-AE1F-03E884A8E7C8}"/>
            </c:ext>
          </c:extLst>
        </c:ser>
        <c:dLbls>
          <c:showLegendKey val="0"/>
          <c:showVal val="0"/>
          <c:showCatName val="0"/>
          <c:showSerName val="0"/>
          <c:showPercent val="0"/>
          <c:showBubbleSize val="0"/>
        </c:dLbls>
        <c:gapWidth val="200"/>
        <c:axId val="587961256"/>
        <c:axId val="587957296"/>
      </c:barChart>
      <c:catAx>
        <c:axId val="587961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7957296"/>
        <c:crosses val="autoZero"/>
        <c:auto val="1"/>
        <c:lblAlgn val="ctr"/>
        <c:lblOffset val="100"/>
        <c:noMultiLvlLbl val="0"/>
      </c:catAx>
      <c:valAx>
        <c:axId val="587957296"/>
        <c:scaling>
          <c:orientation val="minMax"/>
          <c:min val="0"/>
        </c:scaling>
        <c:delete val="1"/>
        <c:axPos val="b"/>
        <c:numFmt formatCode="0.0%;\(0%\);&quot;-&quot;" sourceLinked="0"/>
        <c:majorTickMark val="none"/>
        <c:minorTickMark val="none"/>
        <c:tickLblPos val="nextTo"/>
        <c:crossAx val="587961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428782068400482E-2"/>
          <c:y val="3.2166182404867474E-2"/>
          <c:w val="0.83046085484731269"/>
          <c:h val="0.72831501194516879"/>
        </c:manualLayout>
      </c:layout>
      <c:barChart>
        <c:barDir val="col"/>
        <c:grouping val="clustered"/>
        <c:varyColors val="0"/>
        <c:ser>
          <c:idx val="0"/>
          <c:order val="0"/>
          <c:tx>
            <c:strRef>
              <c:f>'Dashboard 2'!$Y$43</c:f>
              <c:strCache>
                <c:ptCount val="1"/>
                <c:pt idx="0">
                  <c:v> Revenue </c:v>
                </c:pt>
              </c:strCache>
            </c:strRef>
          </c:tx>
          <c:spPr>
            <a:solidFill>
              <a:schemeClr val="accent3"/>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1D5-4A07-8612-0817EEA3BC00}"/>
              </c:ext>
            </c:extLst>
          </c:dPt>
          <c:dPt>
            <c:idx val="4"/>
            <c:invertIfNegative val="0"/>
            <c:bubble3D val="0"/>
            <c:spPr>
              <a:solidFill>
                <a:srgbClr val="C00000"/>
              </a:solidFill>
              <a:ln>
                <a:noFill/>
              </a:ln>
              <a:effectLst/>
            </c:spPr>
            <c:extLst>
              <c:ext xmlns:c16="http://schemas.microsoft.com/office/drawing/2014/chart" uri="{C3380CC4-5D6E-409C-BE32-E72D297353CC}">
                <c16:uniqueId val="{00000003-91D5-4A07-8612-0817EEA3BC00}"/>
              </c:ext>
            </c:extLst>
          </c:dPt>
          <c:dPt>
            <c:idx val="6"/>
            <c:invertIfNegative val="0"/>
            <c:bubble3D val="0"/>
            <c:spPr>
              <a:solidFill>
                <a:srgbClr val="C00000"/>
              </a:solidFill>
              <a:ln>
                <a:noFill/>
              </a:ln>
              <a:effectLst/>
            </c:spPr>
            <c:extLst>
              <c:ext xmlns:c16="http://schemas.microsoft.com/office/drawing/2014/chart" uri="{C3380CC4-5D6E-409C-BE32-E72D297353CC}">
                <c16:uniqueId val="{00000005-91D5-4A07-8612-0817EEA3BC00}"/>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7-91D5-4A07-8612-0817EEA3BC00}"/>
              </c:ext>
            </c:extLst>
          </c:dPt>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2'!$Y$44:$Y$56</c:f>
              <c:numCache>
                <c:formatCode>_(#,##0_);\(#,##0\);_("-"_);_(@_)</c:formatCode>
                <c:ptCount val="13"/>
                <c:pt idx="0">
                  <c:v>2822302.52</c:v>
                </c:pt>
                <c:pt idx="1">
                  <c:v>1600907.04</c:v>
                </c:pt>
                <c:pt idx="2">
                  <c:v>1248165.6000000001</c:v>
                </c:pt>
                <c:pt idx="3">
                  <c:v>1100184.6100000001</c:v>
                </c:pt>
                <c:pt idx="4">
                  <c:v>884423.17</c:v>
                </c:pt>
                <c:pt idx="5">
                  <c:v>848309.78</c:v>
                </c:pt>
                <c:pt idx="6">
                  <c:v>806161.31</c:v>
                </c:pt>
                <c:pt idx="7">
                  <c:v>783773.21</c:v>
                </c:pt>
                <c:pt idx="8">
                  <c:v>752826.57</c:v>
                </c:pt>
                <c:pt idx="9">
                  <c:v>725457.82</c:v>
                </c:pt>
                <c:pt idx="10">
                  <c:v>678781.24</c:v>
                </c:pt>
                <c:pt idx="11">
                  <c:v>324280.86</c:v>
                </c:pt>
                <c:pt idx="12">
                  <c:v>66928.17</c:v>
                </c:pt>
              </c:numCache>
            </c:numRef>
          </c:val>
          <c:extLst>
            <c:ext xmlns:c16="http://schemas.microsoft.com/office/drawing/2014/chart" uri="{C3380CC4-5D6E-409C-BE32-E72D297353CC}">
              <c16:uniqueId val="{00000008-91D5-4A07-8612-0817EEA3BC00}"/>
            </c:ext>
          </c:extLst>
        </c:ser>
        <c:dLbls>
          <c:showLegendKey val="0"/>
          <c:showVal val="0"/>
          <c:showCatName val="0"/>
          <c:showSerName val="0"/>
          <c:showPercent val="0"/>
          <c:showBubbleSize val="0"/>
        </c:dLbls>
        <c:gapWidth val="150"/>
        <c:axId val="795778503"/>
        <c:axId val="795781023"/>
      </c:barChart>
      <c:lineChart>
        <c:grouping val="standard"/>
        <c:varyColors val="0"/>
        <c:ser>
          <c:idx val="1"/>
          <c:order val="1"/>
          <c:tx>
            <c:strRef>
              <c:f>'Dashboard 2'!$Z$43</c:f>
              <c:strCache>
                <c:ptCount val="1"/>
                <c:pt idx="0">
                  <c:v> OC Margin % </c:v>
                </c:pt>
              </c:strCache>
            </c:strRef>
          </c:tx>
          <c:spPr>
            <a:ln w="28575" cap="rnd">
              <a:solidFill>
                <a:schemeClr val="tx2"/>
              </a:solidFill>
              <a:round/>
            </a:ln>
            <a:effectLst/>
          </c:spPr>
          <c:marker>
            <c:symbol val="none"/>
          </c:marker>
          <c:dLbls>
            <c:dLbl>
              <c:idx val="0"/>
              <c:layout>
                <c:manualLayout>
                  <c:x val="-9.5849744436184645E-2"/>
                  <c:y val="-4.1893445817005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1D5-4A07-8612-0817EEA3BC00}"/>
                </c:ext>
              </c:extLst>
            </c:dLbl>
            <c:dLbl>
              <c:idx val="1"/>
              <c:layout>
                <c:manualLayout>
                  <c:x val="-3.9780093321741615E-2"/>
                  <c:y val="-0.218225805570527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1D5-4A07-8612-0817EEA3BC00}"/>
                </c:ext>
              </c:extLst>
            </c:dLbl>
            <c:dLbl>
              <c:idx val="3"/>
              <c:layout>
                <c:manualLayout>
                  <c:x val="-3.1699253441675519E-2"/>
                  <c:y val="-4.1893445817005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1D5-4A07-8612-0817EEA3BC00}"/>
                </c:ext>
              </c:extLst>
            </c:dLbl>
            <c:dLbl>
              <c:idx val="4"/>
              <c:layout>
                <c:manualLayout>
                  <c:x val="-4.1962360857539495E-2"/>
                  <c:y val="-0.206317282619779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1D5-4A07-8612-0817EEA3BC00}"/>
                </c:ext>
              </c:extLst>
            </c:dLbl>
            <c:dLbl>
              <c:idx val="6"/>
              <c:layout>
                <c:manualLayout>
                  <c:x val="-2.6856767197256392E-2"/>
                  <c:y val="-0.128614278482672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1D5-4A07-8612-0817EEA3BC00}"/>
                </c:ext>
              </c:extLst>
            </c:dLbl>
            <c:dLbl>
              <c:idx val="7"/>
              <c:layout>
                <c:manualLayout>
                  <c:x val="-4.8690433246654903E-2"/>
                  <c:y val="-4.767483466138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1D5-4A07-8612-0817EEA3BC00}"/>
                </c:ext>
              </c:extLst>
            </c:dLbl>
            <c:dLbl>
              <c:idx val="9"/>
              <c:layout>
                <c:manualLayout>
                  <c:x val="-4.656653577103248E-2"/>
                  <c:y val="3.03739147377160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1D5-4A07-8612-0817EEA3BC00}"/>
                </c:ext>
              </c:extLst>
            </c:dLbl>
            <c:dLbl>
              <c:idx val="11"/>
              <c:layout>
                <c:manualLayout>
                  <c:x val="-4.4442638295410057E-2"/>
                  <c:y val="3.3264609159905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1D5-4A07-8612-0817EEA3BC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2'!$Z$44:$Z$56</c:f>
              <c:numCache>
                <c:formatCode>0.0%;\(0.0%\);"-"</c:formatCode>
                <c:ptCount val="13"/>
                <c:pt idx="0">
                  <c:v>0.11</c:v>
                </c:pt>
                <c:pt idx="1">
                  <c:v>0.09</c:v>
                </c:pt>
                <c:pt idx="2">
                  <c:v>0.16</c:v>
                </c:pt>
                <c:pt idx="3">
                  <c:v>0.11</c:v>
                </c:pt>
                <c:pt idx="4">
                  <c:v>0.02</c:v>
                </c:pt>
                <c:pt idx="5">
                  <c:v>0.2</c:v>
                </c:pt>
                <c:pt idx="6">
                  <c:v>0.05</c:v>
                </c:pt>
                <c:pt idx="7">
                  <c:v>0.11</c:v>
                </c:pt>
                <c:pt idx="8">
                  <c:v>0.18</c:v>
                </c:pt>
                <c:pt idx="9">
                  <c:v>0.15</c:v>
                </c:pt>
                <c:pt idx="10">
                  <c:v>0.13</c:v>
                </c:pt>
                <c:pt idx="11">
                  <c:v>0.11</c:v>
                </c:pt>
                <c:pt idx="12">
                  <c:v>0.27</c:v>
                </c:pt>
              </c:numCache>
            </c:numRef>
          </c:val>
          <c:smooth val="0"/>
          <c:extLst>
            <c:ext xmlns:c16="http://schemas.microsoft.com/office/drawing/2014/chart" uri="{C3380CC4-5D6E-409C-BE32-E72D297353CC}">
              <c16:uniqueId val="{00000011-91D5-4A07-8612-0817EEA3BC00}"/>
            </c:ext>
          </c:extLst>
        </c:ser>
        <c:dLbls>
          <c:showLegendKey val="0"/>
          <c:showVal val="0"/>
          <c:showCatName val="0"/>
          <c:showSerName val="0"/>
          <c:showPercent val="0"/>
          <c:showBubbleSize val="0"/>
        </c:dLbls>
        <c:marker val="1"/>
        <c:smooth val="0"/>
        <c:axId val="2043291240"/>
        <c:axId val="2043289800"/>
      </c:lineChart>
      <c:catAx>
        <c:axId val="795778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81023"/>
        <c:crosses val="autoZero"/>
        <c:auto val="1"/>
        <c:lblAlgn val="ctr"/>
        <c:lblOffset val="100"/>
        <c:noMultiLvlLbl val="0"/>
      </c:catAx>
      <c:valAx>
        <c:axId val="795781023"/>
        <c:scaling>
          <c:orientation val="minMax"/>
        </c:scaling>
        <c:delete val="0"/>
        <c:axPos val="l"/>
        <c:numFmt formatCode="&quot;$&quot;0.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795778503"/>
        <c:crosses val="autoZero"/>
        <c:crossBetween val="between"/>
      </c:valAx>
      <c:valAx>
        <c:axId val="2043289800"/>
        <c:scaling>
          <c:orientation val="minMax"/>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91240"/>
        <c:crosses val="max"/>
        <c:crossBetween val="between"/>
      </c:valAx>
      <c:catAx>
        <c:axId val="2043291240"/>
        <c:scaling>
          <c:orientation val="minMax"/>
        </c:scaling>
        <c:delete val="1"/>
        <c:axPos val="b"/>
        <c:numFmt formatCode="General" sourceLinked="1"/>
        <c:majorTickMark val="out"/>
        <c:minorTickMark val="none"/>
        <c:tickLblPos val="nextTo"/>
        <c:crossAx val="2043289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 2'!$AA$22</c:f>
              <c:strCache>
                <c:ptCount val="1"/>
                <c:pt idx="0">
                  <c:v> Margin % </c:v>
                </c:pt>
              </c:strCache>
            </c:strRef>
          </c:tx>
          <c:spPr>
            <a:solidFill>
              <a:srgbClr val="6FAF8C"/>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1211-4E04-A469-ADA19CEA1D2F}"/>
              </c:ext>
            </c:extLst>
          </c:dPt>
          <c:dLbls>
            <c:dLbl>
              <c:idx val="0"/>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211-4E04-A469-ADA19CEA1D2F}"/>
                </c:ext>
              </c:extLst>
            </c:dLbl>
            <c:numFmt formatCode="0%;\-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2'!$Z$23:$Z$39</c:f>
              <c:strCache>
                <c:ptCount val="17"/>
                <c:pt idx="0">
                  <c:v> Tables (Furniture) </c:v>
                </c:pt>
                <c:pt idx="1">
                  <c:v> Machines (Technology) </c:v>
                </c:pt>
                <c:pt idx="2">
                  <c:v> Supplies (Office Supplies) </c:v>
                </c:pt>
                <c:pt idx="3">
                  <c:v> Chairs (Furniture) </c:v>
                </c:pt>
                <c:pt idx="4">
                  <c:v> Storage (Office Supplies) </c:v>
                </c:pt>
                <c:pt idx="5">
                  <c:v> Bookcases (Furniture) </c:v>
                </c:pt>
                <c:pt idx="6">
                  <c:v> Furnishings (Furniture) </c:v>
                </c:pt>
                <c:pt idx="7">
                  <c:v> Phones (Technology) </c:v>
                </c:pt>
                <c:pt idx="8">
                  <c:v> Fasteners (Office Supplies) </c:v>
                </c:pt>
                <c:pt idx="9">
                  <c:v> Appliances (Office Supplies) </c:v>
                </c:pt>
                <c:pt idx="10">
                  <c:v> Binders (Office Supplies) </c:v>
                </c:pt>
                <c:pt idx="11">
                  <c:v> Art (Office Supplies) </c:v>
                </c:pt>
                <c:pt idx="12">
                  <c:v> Envelopes (Office Supplies) </c:v>
                </c:pt>
                <c:pt idx="13">
                  <c:v> Copiers (Technology) </c:v>
                </c:pt>
                <c:pt idx="14">
                  <c:v> Accessories (Technology) </c:v>
                </c:pt>
                <c:pt idx="15">
                  <c:v> Labels (Office Supplies) </c:v>
                </c:pt>
                <c:pt idx="16">
                  <c:v> Paper (Office Supplies) </c:v>
                </c:pt>
              </c:strCache>
            </c:strRef>
          </c:cat>
          <c:val>
            <c:numRef>
              <c:f>'Dashboard 2'!$AA$23:$AA$39</c:f>
              <c:numCache>
                <c:formatCode>0.0%;\(0.0%\);"-"</c:formatCode>
                <c:ptCount val="17"/>
                <c:pt idx="0">
                  <c:v>-0.08</c:v>
                </c:pt>
                <c:pt idx="1">
                  <c:v>0.08</c:v>
                </c:pt>
                <c:pt idx="2">
                  <c:v>0.09</c:v>
                </c:pt>
                <c:pt idx="3">
                  <c:v>0.09</c:v>
                </c:pt>
                <c:pt idx="4">
                  <c:v>0.1</c:v>
                </c:pt>
                <c:pt idx="5">
                  <c:v>0.11</c:v>
                </c:pt>
                <c:pt idx="6">
                  <c:v>0.12</c:v>
                </c:pt>
                <c:pt idx="7">
                  <c:v>0.13</c:v>
                </c:pt>
                <c:pt idx="8">
                  <c:v>0.14000000000000001</c:v>
                </c:pt>
                <c:pt idx="9">
                  <c:v>0.14000000000000001</c:v>
                </c:pt>
                <c:pt idx="10">
                  <c:v>0.16</c:v>
                </c:pt>
                <c:pt idx="11">
                  <c:v>0.16</c:v>
                </c:pt>
                <c:pt idx="12">
                  <c:v>0.17</c:v>
                </c:pt>
                <c:pt idx="13">
                  <c:v>0.17</c:v>
                </c:pt>
                <c:pt idx="14">
                  <c:v>0.17</c:v>
                </c:pt>
                <c:pt idx="15">
                  <c:v>0.2</c:v>
                </c:pt>
                <c:pt idx="16">
                  <c:v>0.24</c:v>
                </c:pt>
              </c:numCache>
            </c:numRef>
          </c:val>
          <c:extLst>
            <c:ext xmlns:c16="http://schemas.microsoft.com/office/drawing/2014/chart" uri="{C3380CC4-5D6E-409C-BE32-E72D297353CC}">
              <c16:uniqueId val="{00000000-1211-4E04-A469-ADA19CEA1D2F}"/>
            </c:ext>
          </c:extLst>
        </c:ser>
        <c:dLbls>
          <c:showLegendKey val="0"/>
          <c:showVal val="0"/>
          <c:showCatName val="0"/>
          <c:showSerName val="0"/>
          <c:showPercent val="0"/>
          <c:showBubbleSize val="0"/>
        </c:dLbls>
        <c:gapWidth val="182"/>
        <c:axId val="40867903"/>
        <c:axId val="40865743"/>
      </c:barChart>
      <c:catAx>
        <c:axId val="40867903"/>
        <c:scaling>
          <c:orientation val="minMax"/>
        </c:scaling>
        <c:delete val="0"/>
        <c:axPos val="l"/>
        <c:numFmt formatCode="General" sourceLinked="1"/>
        <c:majorTickMark val="none"/>
        <c:minorTickMark val="none"/>
        <c:tickLblPos val="low"/>
        <c:spPr>
          <a:noFill/>
          <a:ln w="889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40865743"/>
        <c:crosses val="autoZero"/>
        <c:auto val="1"/>
        <c:lblAlgn val="ctr"/>
        <c:lblOffset val="100"/>
        <c:noMultiLvlLbl val="0"/>
      </c:catAx>
      <c:valAx>
        <c:axId val="40865743"/>
        <c:scaling>
          <c:orientation val="minMax"/>
          <c:max val="0.33000000000000007"/>
          <c:min val="-0.1"/>
        </c:scaling>
        <c:delete val="0"/>
        <c:axPos val="b"/>
        <c:numFmt formatCode="0%;\-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 2'!$Y$43</c:f>
              <c:strCache>
                <c:ptCount val="1"/>
                <c:pt idx="0">
                  <c:v> Revenue </c:v>
                </c:pt>
              </c:strCache>
            </c:strRef>
          </c:tx>
          <c:spPr>
            <a:solidFill>
              <a:schemeClr val="accent3"/>
            </a:solidFill>
            <a:ln>
              <a:noFill/>
            </a:ln>
            <a:effectLst/>
          </c:spPr>
          <c:invertIfNegative val="0"/>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2'!$Y$44:$Y$56</c:f>
              <c:numCache>
                <c:formatCode>_(#,##0_);\(#,##0\);_("-"_);_(@_)</c:formatCode>
                <c:ptCount val="13"/>
                <c:pt idx="0">
                  <c:v>2822302.52</c:v>
                </c:pt>
                <c:pt idx="1">
                  <c:v>1600907.04</c:v>
                </c:pt>
                <c:pt idx="2">
                  <c:v>1248165.6000000001</c:v>
                </c:pt>
                <c:pt idx="3">
                  <c:v>1100184.6100000001</c:v>
                </c:pt>
                <c:pt idx="4">
                  <c:v>884423.17</c:v>
                </c:pt>
                <c:pt idx="5">
                  <c:v>848309.78</c:v>
                </c:pt>
                <c:pt idx="6">
                  <c:v>806161.31</c:v>
                </c:pt>
                <c:pt idx="7">
                  <c:v>783773.21</c:v>
                </c:pt>
                <c:pt idx="8">
                  <c:v>752826.57</c:v>
                </c:pt>
                <c:pt idx="9">
                  <c:v>725457.82</c:v>
                </c:pt>
                <c:pt idx="10">
                  <c:v>678781.24</c:v>
                </c:pt>
                <c:pt idx="11">
                  <c:v>324280.86</c:v>
                </c:pt>
                <c:pt idx="12">
                  <c:v>66928.17</c:v>
                </c:pt>
              </c:numCache>
            </c:numRef>
          </c:val>
          <c:extLst>
            <c:ext xmlns:c16="http://schemas.microsoft.com/office/drawing/2014/chart" uri="{C3380CC4-5D6E-409C-BE32-E72D297353CC}">
              <c16:uniqueId val="{00000000-1346-4A6D-9538-2762DE2FF5C5}"/>
            </c:ext>
          </c:extLst>
        </c:ser>
        <c:dLbls>
          <c:showLegendKey val="0"/>
          <c:showVal val="0"/>
          <c:showCatName val="0"/>
          <c:showSerName val="0"/>
          <c:showPercent val="0"/>
          <c:showBubbleSize val="0"/>
        </c:dLbls>
        <c:gapWidth val="150"/>
        <c:axId val="795778503"/>
        <c:axId val="795781023"/>
      </c:barChart>
      <c:lineChart>
        <c:grouping val="standard"/>
        <c:varyColors val="0"/>
        <c:ser>
          <c:idx val="1"/>
          <c:order val="1"/>
          <c:tx>
            <c:strRef>
              <c:f>'Dashboard 2'!$Z$43</c:f>
              <c:strCache>
                <c:ptCount val="1"/>
                <c:pt idx="0">
                  <c:v> OC Margin %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2'!$Z$44:$Z$56</c:f>
              <c:numCache>
                <c:formatCode>0.0%;\(0.0%\);"-"</c:formatCode>
                <c:ptCount val="13"/>
                <c:pt idx="0">
                  <c:v>0.11</c:v>
                </c:pt>
                <c:pt idx="1">
                  <c:v>0.09</c:v>
                </c:pt>
                <c:pt idx="2">
                  <c:v>0.16</c:v>
                </c:pt>
                <c:pt idx="3">
                  <c:v>0.11</c:v>
                </c:pt>
                <c:pt idx="4">
                  <c:v>0.02</c:v>
                </c:pt>
                <c:pt idx="5">
                  <c:v>0.2</c:v>
                </c:pt>
                <c:pt idx="6">
                  <c:v>0.05</c:v>
                </c:pt>
                <c:pt idx="7">
                  <c:v>0.11</c:v>
                </c:pt>
                <c:pt idx="8">
                  <c:v>0.18</c:v>
                </c:pt>
                <c:pt idx="9">
                  <c:v>0.15</c:v>
                </c:pt>
                <c:pt idx="10">
                  <c:v>0.13</c:v>
                </c:pt>
                <c:pt idx="11">
                  <c:v>0.11</c:v>
                </c:pt>
                <c:pt idx="12">
                  <c:v>0.27</c:v>
                </c:pt>
              </c:numCache>
            </c:numRef>
          </c:val>
          <c:smooth val="0"/>
          <c:extLst>
            <c:ext xmlns:c16="http://schemas.microsoft.com/office/drawing/2014/chart" uri="{C3380CC4-5D6E-409C-BE32-E72D297353CC}">
              <c16:uniqueId val="{00000001-1346-4A6D-9538-2762DE2FF5C5}"/>
            </c:ext>
          </c:extLst>
        </c:ser>
        <c:dLbls>
          <c:showLegendKey val="0"/>
          <c:showVal val="0"/>
          <c:showCatName val="0"/>
          <c:showSerName val="0"/>
          <c:showPercent val="0"/>
          <c:showBubbleSize val="0"/>
        </c:dLbls>
        <c:marker val="1"/>
        <c:smooth val="0"/>
        <c:axId val="2043291240"/>
        <c:axId val="2043289800"/>
      </c:lineChart>
      <c:catAx>
        <c:axId val="795778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81023"/>
        <c:crosses val="autoZero"/>
        <c:auto val="1"/>
        <c:lblAlgn val="ctr"/>
        <c:lblOffset val="100"/>
        <c:noMultiLvlLbl val="0"/>
      </c:catAx>
      <c:valAx>
        <c:axId val="795781023"/>
        <c:scaling>
          <c:orientation val="minMax"/>
        </c:scaling>
        <c:delete val="0"/>
        <c:axPos val="l"/>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795778503"/>
        <c:crosses val="autoZero"/>
        <c:crossBetween val="between"/>
      </c:valAx>
      <c:valAx>
        <c:axId val="2043289800"/>
        <c:scaling>
          <c:orientation val="minMax"/>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91240"/>
        <c:crosses val="max"/>
        <c:crossBetween val="between"/>
      </c:valAx>
      <c:catAx>
        <c:axId val="2043291240"/>
        <c:scaling>
          <c:orientation val="minMax"/>
        </c:scaling>
        <c:delete val="1"/>
        <c:axPos val="b"/>
        <c:numFmt formatCode="General" sourceLinked="1"/>
        <c:majorTickMark val="out"/>
        <c:minorTickMark val="none"/>
        <c:tickLblPos val="nextTo"/>
        <c:crossAx val="2043289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4710969984138"/>
          <c:y val="5.047206008379012E-2"/>
          <c:w val="0.74189195873025293"/>
          <c:h val="0.73849330965204985"/>
        </c:manualLayout>
      </c:layout>
      <c:barChart>
        <c:barDir val="col"/>
        <c:grouping val="clustered"/>
        <c:varyColors val="0"/>
        <c:ser>
          <c:idx val="3"/>
          <c:order val="3"/>
          <c:tx>
            <c:strRef>
              <c:f>'Dashboard 2'!$X$9:$Z$9</c:f>
              <c:strCache>
                <c:ptCount val="3"/>
                <c:pt idx="0">
                  <c:v> Total Revenue </c:v>
                </c:pt>
              </c:strCache>
            </c:strRef>
          </c:tx>
          <c:spPr>
            <a:solidFill>
              <a:srgbClr val="1F4E3D"/>
            </a:solidFill>
            <a:ln>
              <a:noFill/>
            </a:ln>
            <a:effectLst/>
          </c:spPr>
          <c:invertIfNegative val="0"/>
          <c:cat>
            <c:strRef>
              <c:f>'Dashboard 2'!$AA$5:$AD$5</c:f>
              <c:strCache>
                <c:ptCount val="4"/>
                <c:pt idx="0">
                  <c:v> 2011A </c:v>
                </c:pt>
                <c:pt idx="1">
                  <c:v> 2012A </c:v>
                </c:pt>
                <c:pt idx="2">
                  <c:v> 2013A </c:v>
                </c:pt>
                <c:pt idx="3">
                  <c:v> 2014A </c:v>
                </c:pt>
              </c:strCache>
            </c:strRef>
          </c:cat>
          <c:val>
            <c:numRef>
              <c:f>'Dashboard 2'!$AA$9:$AD$9</c:f>
              <c:numCache>
                <c:formatCode>_(#,##0_);\(#,##0\);_("-"_);_(@_)</c:formatCode>
                <c:ptCount val="4"/>
                <c:pt idx="0">
                  <c:v>2259450.89</c:v>
                </c:pt>
                <c:pt idx="1">
                  <c:v>2677438.7000000002</c:v>
                </c:pt>
                <c:pt idx="2">
                  <c:v>3405746.44</c:v>
                </c:pt>
                <c:pt idx="3">
                  <c:v>4299865.87</c:v>
                </c:pt>
              </c:numCache>
            </c:numRef>
          </c:val>
          <c:extLst>
            <c:ext xmlns:c16="http://schemas.microsoft.com/office/drawing/2014/chart" uri="{C3380CC4-5D6E-409C-BE32-E72D297353CC}">
              <c16:uniqueId val="{00000003-F0CC-4235-9A9F-48DDBF4354E6}"/>
            </c:ext>
          </c:extLst>
        </c:ser>
        <c:dLbls>
          <c:showLegendKey val="0"/>
          <c:showVal val="0"/>
          <c:showCatName val="0"/>
          <c:showSerName val="0"/>
          <c:showPercent val="0"/>
          <c:showBubbleSize val="0"/>
        </c:dLbls>
        <c:gapWidth val="150"/>
        <c:axId val="795780303"/>
        <c:axId val="795773463"/>
        <c:extLst>
          <c:ext xmlns:c15="http://schemas.microsoft.com/office/drawing/2012/chart" uri="{02D57815-91ED-43cb-92C2-25804820EDAC}">
            <c15:filteredBarSeries>
              <c15:ser>
                <c:idx val="0"/>
                <c:order val="0"/>
                <c:tx>
                  <c:strRef>
                    <c:extLst>
                      <c:ext uri="{02D57815-91ED-43cb-92C2-25804820EDAC}">
                        <c15:formulaRef>
                          <c15:sqref>'Dashboard 2'!$X$6:$Z$6</c15:sqref>
                        </c15:formulaRef>
                      </c:ext>
                    </c:extLst>
                    <c:strCache>
                      <c:ptCount val="3"/>
                      <c:pt idx="0">
                        <c:v> Furniture </c:v>
                      </c:pt>
                    </c:strCache>
                  </c:strRef>
                </c:tx>
                <c:spPr>
                  <a:solidFill>
                    <a:schemeClr val="accent1"/>
                  </a:solidFill>
                  <a:ln>
                    <a:noFill/>
                  </a:ln>
                  <a:effectLst/>
                </c:spPr>
                <c:invertIfNegative val="0"/>
                <c:cat>
                  <c:strRef>
                    <c:extLst>
                      <c:ex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c:ext uri="{02D57815-91ED-43cb-92C2-25804820EDAC}">
                        <c15:formulaRef>
                          <c15:sqref>'Dashboard 2'!$AA$6:$AD$6</c15:sqref>
                        </c15:formulaRef>
                      </c:ext>
                    </c:extLst>
                    <c:numCache>
                      <c:formatCode>_(#,##0_);\(#,##0\);_("-"_);_(@_)</c:formatCode>
                      <c:ptCount val="4"/>
                      <c:pt idx="0">
                        <c:v>756192.38</c:v>
                      </c:pt>
                      <c:pt idx="1">
                        <c:v>858902.56</c:v>
                      </c:pt>
                      <c:pt idx="2">
                        <c:v>1117723.55</c:v>
                      </c:pt>
                      <c:pt idx="3">
                        <c:v>1378055.69</c:v>
                      </c:pt>
                    </c:numCache>
                  </c:numRef>
                </c:val>
                <c:extLst>
                  <c:ext xmlns:c16="http://schemas.microsoft.com/office/drawing/2014/chart" uri="{C3380CC4-5D6E-409C-BE32-E72D297353CC}">
                    <c16:uniqueId val="{00000000-F0CC-4235-9A9F-48DDBF4354E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'Dashboard 2'!$X$7:$Z$7</c15:sqref>
                        </c15:formulaRef>
                      </c:ext>
                    </c:extLst>
                    <c:strCache>
                      <c:ptCount val="3"/>
                      <c:pt idx="0">
                        <c:v> Office Supplies </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xmlns:c15="http://schemas.microsoft.com/office/drawing/2012/chart">
                      <c:ext xmlns:c15="http://schemas.microsoft.com/office/drawing/2012/chart" uri="{02D57815-91ED-43cb-92C2-25804820EDAC}">
                        <c15:formulaRef>
                          <c15:sqref>'Dashboard 2'!$AA$7:$AD$7</c15:sqref>
                        </c15:formulaRef>
                      </c:ext>
                    </c:extLst>
                    <c:numCache>
                      <c:formatCode>_(#,##0_);\(#,##0\);_("-"_);_(@_)</c:formatCode>
                      <c:ptCount val="4"/>
                      <c:pt idx="0">
                        <c:v>675606.45</c:v>
                      </c:pt>
                      <c:pt idx="1">
                        <c:v>795094.63</c:v>
                      </c:pt>
                      <c:pt idx="2">
                        <c:v>1010717.64</c:v>
                      </c:pt>
                      <c:pt idx="3">
                        <c:v>1305651.51</c:v>
                      </c:pt>
                    </c:numCache>
                  </c:numRef>
                </c:val>
                <c:extLst xmlns:c15="http://schemas.microsoft.com/office/drawing/2012/chart">
                  <c:ext xmlns:c16="http://schemas.microsoft.com/office/drawing/2014/chart" uri="{C3380CC4-5D6E-409C-BE32-E72D297353CC}">
                    <c16:uniqueId val="{00000001-F0CC-4235-9A9F-48DDBF4354E6}"/>
                  </c:ext>
                </c:extLst>
              </c15:ser>
            </c15:filteredBarSeries>
          </c:ext>
        </c:extLst>
      </c:barChart>
      <c:lineChart>
        <c:grouping val="standard"/>
        <c:varyColors val="0"/>
        <c:ser>
          <c:idx val="5"/>
          <c:order val="5"/>
          <c:tx>
            <c:strRef>
              <c:f>'Dashboard 2'!$X$11:$Z$11</c:f>
              <c:strCache>
                <c:ptCount val="3"/>
                <c:pt idx="0">
                  <c:v> OC Margin % </c:v>
                </c:pt>
              </c:strCache>
            </c:strRef>
          </c:tx>
          <c:spPr>
            <a:ln w="28575" cap="rnd">
              <a:solidFill>
                <a:schemeClr val="accent2"/>
              </a:solidFill>
              <a:prstDash val="sysDash"/>
              <a:round/>
            </a:ln>
            <a:effectLst>
              <a:softEdge rad="0"/>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Open Sans" panose="020B0606030504020204" pitchFamily="34" charset="0"/>
                    <a:ea typeface="Open Sans" panose="020B0606030504020204" pitchFamily="34" charset="0"/>
                    <a:cs typeface="Open Sans" panose="020B0606030504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2'!$AA$5:$AD$5</c:f>
              <c:strCache>
                <c:ptCount val="4"/>
                <c:pt idx="0">
                  <c:v> 2011A </c:v>
                </c:pt>
                <c:pt idx="1">
                  <c:v> 2012A </c:v>
                </c:pt>
                <c:pt idx="2">
                  <c:v> 2013A </c:v>
                </c:pt>
                <c:pt idx="3">
                  <c:v> 2014A </c:v>
                </c:pt>
              </c:strCache>
            </c:strRef>
          </c:cat>
          <c:val>
            <c:numRef>
              <c:f>'Dashboard 2'!$AA$11:$AD$11</c:f>
              <c:numCache>
                <c:formatCode>0.0%;\(0.0%\);"-"</c:formatCode>
                <c:ptCount val="4"/>
                <c:pt idx="0">
                  <c:v>0.11019999999999999</c:v>
                </c:pt>
                <c:pt idx="1">
                  <c:v>0.1148</c:v>
                </c:pt>
                <c:pt idx="2">
                  <c:v>0.1195</c:v>
                </c:pt>
                <c:pt idx="3">
                  <c:v>0.1173</c:v>
                </c:pt>
              </c:numCache>
            </c:numRef>
          </c:val>
          <c:smooth val="1"/>
          <c:extLst>
            <c:ext xmlns:c16="http://schemas.microsoft.com/office/drawing/2014/chart" uri="{C3380CC4-5D6E-409C-BE32-E72D297353CC}">
              <c16:uniqueId val="{00000005-F0CC-4235-9A9F-48DDBF4354E6}"/>
            </c:ext>
          </c:extLst>
        </c:ser>
        <c:dLbls>
          <c:showLegendKey val="0"/>
          <c:showVal val="0"/>
          <c:showCatName val="0"/>
          <c:showSerName val="0"/>
          <c:showPercent val="0"/>
          <c:showBubbleSize val="0"/>
        </c:dLbls>
        <c:marker val="1"/>
        <c:smooth val="0"/>
        <c:axId val="40890943"/>
        <c:axId val="40890583"/>
        <c:extLst>
          <c:ext xmlns:c15="http://schemas.microsoft.com/office/drawing/2012/chart" uri="{02D57815-91ED-43cb-92C2-25804820EDAC}">
            <c15:filteredLineSeries>
              <c15:ser>
                <c:idx val="2"/>
                <c:order val="2"/>
                <c:tx>
                  <c:strRef>
                    <c:extLst>
                      <c:ext uri="{02D57815-91ED-43cb-92C2-25804820EDAC}">
                        <c15:formulaRef>
                          <c15:sqref>'Dashboard 2'!$X$8:$Z$8</c15:sqref>
                        </c15:formulaRef>
                      </c:ext>
                    </c:extLst>
                    <c:strCache>
                      <c:ptCount val="3"/>
                      <c:pt idx="0">
                        <c:v> Technology </c:v>
                      </c:pt>
                    </c:strCache>
                  </c:strRef>
                </c:tx>
                <c:spPr>
                  <a:ln w="28575" cap="rnd">
                    <a:solidFill>
                      <a:schemeClr val="accent3"/>
                    </a:solidFill>
                    <a:round/>
                  </a:ln>
                  <a:effectLst/>
                </c:spPr>
                <c:marker>
                  <c:symbol val="none"/>
                </c:marker>
                <c:cat>
                  <c:strRef>
                    <c:extLst>
                      <c:ex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c:ext uri="{02D57815-91ED-43cb-92C2-25804820EDAC}">
                        <c15:formulaRef>
                          <c15:sqref>'Dashboard 2'!$AA$8:$AD$8</c15:sqref>
                        </c15:formulaRef>
                      </c:ext>
                    </c:extLst>
                    <c:numCache>
                      <c:formatCode>_(#,##0_);\(#,##0\);_("-"_);_(@_)</c:formatCode>
                      <c:ptCount val="4"/>
                      <c:pt idx="0">
                        <c:v>827652.06</c:v>
                      </c:pt>
                      <c:pt idx="1">
                        <c:v>1023441.51</c:v>
                      </c:pt>
                      <c:pt idx="2">
                        <c:v>1277305.25</c:v>
                      </c:pt>
                      <c:pt idx="3">
                        <c:v>1616158.67</c:v>
                      </c:pt>
                    </c:numCache>
                  </c:numRef>
                </c:val>
                <c:smooth val="0"/>
                <c:extLst>
                  <c:ext xmlns:c16="http://schemas.microsoft.com/office/drawing/2014/chart" uri="{C3380CC4-5D6E-409C-BE32-E72D297353CC}">
                    <c16:uniqueId val="{00000002-F0CC-4235-9A9F-48DDBF4354E6}"/>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'Dashboard 2'!$X$10:$Z$10</c15:sqref>
                        </c15:formulaRef>
                      </c:ext>
                    </c:extLst>
                    <c:strCache>
                      <c:ptCount val="3"/>
                      <c:pt idx="0">
                        <c:v> Total Revenue </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'Dashboard 2'!$AA$5:$AD$5</c15:sqref>
                        </c15:formulaRef>
                      </c:ext>
                    </c:extLst>
                    <c:strCache>
                      <c:ptCount val="4"/>
                      <c:pt idx="0">
                        <c:v> 2011A </c:v>
                      </c:pt>
                      <c:pt idx="1">
                        <c:v> 2012A </c:v>
                      </c:pt>
                      <c:pt idx="2">
                        <c:v> 2013A </c:v>
                      </c:pt>
                      <c:pt idx="3">
                        <c:v> 2014A </c:v>
                      </c:pt>
                    </c:strCache>
                  </c:strRef>
                </c:cat>
                <c:val>
                  <c:numRef>
                    <c:extLst xmlns:c15="http://schemas.microsoft.com/office/drawing/2012/chart">
                      <c:ext xmlns:c15="http://schemas.microsoft.com/office/drawing/2012/chart" uri="{02D57815-91ED-43cb-92C2-25804820EDAC}">
                        <c15:formulaRef>
                          <c15:sqref>'Dashboard 2'!$AA$10:$AD$10</c15:sqref>
                        </c15:formulaRef>
                      </c:ext>
                    </c:extLst>
                    <c:numCache>
                      <c:formatCode>_(#,##0_);\(#,##0\);_("-"_);_(@_)</c:formatCode>
                      <c:ptCount val="4"/>
                    </c:numCache>
                  </c:numRef>
                </c:val>
                <c:smooth val="0"/>
                <c:extLst xmlns:c15="http://schemas.microsoft.com/office/drawing/2012/chart">
                  <c:ext xmlns:c16="http://schemas.microsoft.com/office/drawing/2014/chart" uri="{C3380CC4-5D6E-409C-BE32-E72D297353CC}">
                    <c16:uniqueId val="{00000004-F0CC-4235-9A9F-48DDBF4354E6}"/>
                  </c:ext>
                </c:extLst>
              </c15:ser>
            </c15:filteredLineSeries>
          </c:ext>
        </c:extLst>
      </c:lineChart>
      <c:catAx>
        <c:axId val="79578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73463"/>
        <c:crosses val="autoZero"/>
        <c:auto val="1"/>
        <c:lblAlgn val="ctr"/>
        <c:lblOffset val="100"/>
        <c:noMultiLvlLbl val="0"/>
      </c:catAx>
      <c:valAx>
        <c:axId val="795773463"/>
        <c:scaling>
          <c:orientation val="minMax"/>
        </c:scaling>
        <c:delete val="0"/>
        <c:axPos val="l"/>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80303"/>
        <c:crosses val="autoZero"/>
        <c:crossBetween val="between"/>
      </c:valAx>
      <c:valAx>
        <c:axId val="40890583"/>
        <c:scaling>
          <c:orientation val="minMax"/>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0943"/>
        <c:crosses val="max"/>
        <c:crossBetween val="between"/>
      </c:valAx>
      <c:catAx>
        <c:axId val="40890943"/>
        <c:scaling>
          <c:orientation val="minMax"/>
        </c:scaling>
        <c:delete val="1"/>
        <c:axPos val="b"/>
        <c:numFmt formatCode="General" sourceLinked="1"/>
        <c:majorTickMark val="out"/>
        <c:minorTickMark val="none"/>
        <c:tickLblPos val="nextTo"/>
        <c:crossAx val="40890583"/>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'Dashboard 2'!$Y$60</c:f>
              <c:strCache>
                <c:ptCount val="1"/>
                <c:pt idx="0">
                  <c:v> Revenue Shares </c:v>
                </c:pt>
              </c:strCache>
            </c:strRef>
          </c:tx>
          <c:spPr>
            <a:ln>
              <a:noFill/>
            </a:ln>
          </c:spPr>
          <c:dPt>
            <c:idx val="0"/>
            <c:bubble3D val="0"/>
            <c:spPr>
              <a:solidFill>
                <a:schemeClr val="accent3">
                  <a:lumMod val="75000"/>
                </a:schemeClr>
              </a:solidFill>
              <a:ln w="19050">
                <a:noFill/>
              </a:ln>
              <a:effectLst/>
            </c:spPr>
            <c:extLst>
              <c:ext xmlns:c16="http://schemas.microsoft.com/office/drawing/2014/chart" uri="{C3380CC4-5D6E-409C-BE32-E72D297353CC}">
                <c16:uniqueId val="{00000001-D0C9-49E9-B609-30A70C8D6B9D}"/>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2-D0C9-49E9-B609-30A70C8D6B9D}"/>
              </c:ext>
            </c:extLst>
          </c:dPt>
          <c:dPt>
            <c:idx val="2"/>
            <c:bubble3D val="0"/>
            <c:spPr>
              <a:solidFill>
                <a:schemeClr val="accent3"/>
              </a:solidFill>
              <a:ln w="19050">
                <a:noFill/>
              </a:ln>
              <a:effectLst/>
            </c:spPr>
            <c:extLst>
              <c:ext xmlns:c16="http://schemas.microsoft.com/office/drawing/2014/chart" uri="{C3380CC4-5D6E-409C-BE32-E72D297353CC}">
                <c16:uniqueId val="{00000003-D0C9-49E9-B609-30A70C8D6B9D}"/>
              </c:ext>
            </c:extLst>
          </c:dPt>
          <c:dLbls>
            <c:dLbl>
              <c:idx val="0"/>
              <c:layout>
                <c:manualLayout>
                  <c:x val="0.1595419690801505"/>
                  <c:y val="-3.704564613560852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C9-49E9-B609-30A70C8D6B9D}"/>
                </c:ext>
              </c:extLst>
            </c:dLbl>
            <c:dLbl>
              <c:idx val="1"/>
              <c:layout>
                <c:manualLayout>
                  <c:x val="-0.14081287828814129"/>
                  <c:y val="0.1442964908494822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C9-49E9-B609-30A70C8D6B9D}"/>
                </c:ext>
              </c:extLst>
            </c:dLbl>
            <c:dLbl>
              <c:idx val="2"/>
              <c:layout>
                <c:manualLayout>
                  <c:x val="-0.12103467571801139"/>
                  <c:y val="-0.123297671375306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C9-49E9-B609-30A70C8D6B9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2'!$X$61:$X$63</c:f>
              <c:strCache>
                <c:ptCount val="3"/>
                <c:pt idx="0">
                  <c:v> Consumer </c:v>
                </c:pt>
                <c:pt idx="1">
                  <c:v> Corporate </c:v>
                </c:pt>
                <c:pt idx="2">
                  <c:v> Home Office </c:v>
                </c:pt>
              </c:strCache>
            </c:strRef>
          </c:cat>
          <c:val>
            <c:numRef>
              <c:f>'Dashboard 2'!$Y$61:$Y$63</c:f>
              <c:numCache>
                <c:formatCode>0.0%;\(0.0%\);"-"</c:formatCode>
                <c:ptCount val="3"/>
                <c:pt idx="0">
                  <c:v>0.51479999999999992</c:v>
                </c:pt>
                <c:pt idx="1">
                  <c:v>0.30249999999999999</c:v>
                </c:pt>
                <c:pt idx="2">
                  <c:v>0.1827</c:v>
                </c:pt>
              </c:numCache>
            </c:numRef>
          </c:val>
          <c:extLst>
            <c:ext xmlns:c16="http://schemas.microsoft.com/office/drawing/2014/chart" uri="{C3380CC4-5D6E-409C-BE32-E72D297353CC}">
              <c16:uniqueId val="{00000000-D0C9-49E9-B609-30A70C8D6B9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91719303648608"/>
          <c:y val="3.3130487162825552E-2"/>
          <c:w val="0.7961247699928512"/>
          <c:h val="0.82834376022728895"/>
        </c:manualLayout>
      </c:layout>
      <c:barChart>
        <c:barDir val="bar"/>
        <c:grouping val="clustered"/>
        <c:varyColors val="0"/>
        <c:ser>
          <c:idx val="0"/>
          <c:order val="0"/>
          <c:tx>
            <c:strRef>
              <c:f>'Dashboard 2'!$AA$15</c:f>
              <c:strCache>
                <c:ptCount val="1"/>
                <c:pt idx="0">
                  <c:v> Revenue Share % </c:v>
                </c:pt>
              </c:strCache>
            </c:strRef>
          </c:tx>
          <c:spPr>
            <a:solidFill>
              <a:schemeClr val="bg1">
                <a:lumMod val="75000"/>
              </a:schemeClr>
            </a:solidFill>
            <a:ln>
              <a:noFill/>
            </a:ln>
            <a:effectLst/>
          </c:spPr>
          <c:invertIfNegative val="0"/>
          <c:dPt>
            <c:idx val="0"/>
            <c:invertIfNegative val="0"/>
            <c:bubble3D val="0"/>
            <c:spPr>
              <a:solidFill>
                <a:srgbClr val="7F7F7F"/>
              </a:solidFill>
              <a:ln>
                <a:noFill/>
              </a:ln>
              <a:effectLst/>
            </c:spPr>
            <c:extLst>
              <c:ext xmlns:c16="http://schemas.microsoft.com/office/drawing/2014/chart" uri="{C3380CC4-5D6E-409C-BE32-E72D297353CC}">
                <c16:uniqueId val="{00000001-004F-4DA8-A34F-D4DBEDA6A7DB}"/>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004F-4DA8-A34F-D4DBEDA6A7DB}"/>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5-004F-4DA8-A34F-D4DBEDA6A7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2'!$X$16:$Z$18</c:f>
              <c:strCache>
                <c:ptCount val="3"/>
                <c:pt idx="0">
                  <c:v> Furniture </c:v>
                </c:pt>
                <c:pt idx="1">
                  <c:v> Office Supplies </c:v>
                </c:pt>
                <c:pt idx="2">
                  <c:v> Technology </c:v>
                </c:pt>
              </c:strCache>
            </c:strRef>
          </c:cat>
          <c:val>
            <c:numRef>
              <c:f>'Dashboard 2'!$AA$16:$AA$18</c:f>
              <c:numCache>
                <c:formatCode>0.0%;\(0.0%\);"-"</c:formatCode>
                <c:ptCount val="3"/>
                <c:pt idx="0">
                  <c:v>0.32520000000000004</c:v>
                </c:pt>
                <c:pt idx="1">
                  <c:v>0.29960000000000003</c:v>
                </c:pt>
                <c:pt idx="2">
                  <c:v>0.37530000000000002</c:v>
                </c:pt>
              </c:numCache>
            </c:numRef>
          </c:val>
          <c:extLst>
            <c:ext xmlns:c16="http://schemas.microsoft.com/office/drawing/2014/chart" uri="{C3380CC4-5D6E-409C-BE32-E72D297353CC}">
              <c16:uniqueId val="{00000006-004F-4DA8-A34F-D4DBEDA6A7DB}"/>
            </c:ext>
          </c:extLst>
        </c:ser>
        <c:ser>
          <c:idx val="1"/>
          <c:order val="1"/>
          <c:tx>
            <c:strRef>
              <c:f>'Dashboard 2'!$AB$15</c:f>
              <c:strCache>
                <c:ptCount val="1"/>
                <c:pt idx="0">
                  <c:v> Profit Contribution % </c:v>
                </c:pt>
              </c:strCache>
            </c:strRef>
          </c:tx>
          <c:spPr>
            <a:solidFill>
              <a:srgbClr val="1F4E3D"/>
            </a:solidFill>
            <a:ln>
              <a:noFill/>
            </a:ln>
            <a:effectLst/>
          </c:spPr>
          <c:invertIfNegative val="0"/>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8-004F-4DA8-A34F-D4DBEDA6A7DB}"/>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A-004F-4DA8-A34F-D4DBEDA6A7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5E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2'!$X$16:$Z$18</c:f>
              <c:strCache>
                <c:ptCount val="3"/>
                <c:pt idx="0">
                  <c:v> Furniture </c:v>
                </c:pt>
                <c:pt idx="1">
                  <c:v> Office Supplies </c:v>
                </c:pt>
                <c:pt idx="2">
                  <c:v> Technology </c:v>
                </c:pt>
              </c:strCache>
            </c:strRef>
          </c:cat>
          <c:val>
            <c:numRef>
              <c:f>'Dashboard 2'!$AB$16:$AB$18</c:f>
              <c:numCache>
                <c:formatCode>0.0%;\(0.0%\);"-"</c:formatCode>
                <c:ptCount val="3"/>
                <c:pt idx="0">
                  <c:v>0.19440000000000002</c:v>
                </c:pt>
                <c:pt idx="1">
                  <c:v>0.3533</c:v>
                </c:pt>
                <c:pt idx="2">
                  <c:v>0.45229999999999998</c:v>
                </c:pt>
              </c:numCache>
            </c:numRef>
          </c:val>
          <c:extLst>
            <c:ext xmlns:c16="http://schemas.microsoft.com/office/drawing/2014/chart" uri="{C3380CC4-5D6E-409C-BE32-E72D297353CC}">
              <c16:uniqueId val="{0000000B-004F-4DA8-A34F-D4DBEDA6A7DB}"/>
            </c:ext>
          </c:extLst>
        </c:ser>
        <c:dLbls>
          <c:showLegendKey val="0"/>
          <c:showVal val="0"/>
          <c:showCatName val="0"/>
          <c:showSerName val="0"/>
          <c:showPercent val="0"/>
          <c:showBubbleSize val="0"/>
        </c:dLbls>
        <c:gapWidth val="200"/>
        <c:axId val="587961256"/>
        <c:axId val="587957296"/>
      </c:barChart>
      <c:catAx>
        <c:axId val="587961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7957296"/>
        <c:crosses val="autoZero"/>
        <c:auto val="1"/>
        <c:lblAlgn val="ctr"/>
        <c:lblOffset val="100"/>
        <c:noMultiLvlLbl val="0"/>
      </c:catAx>
      <c:valAx>
        <c:axId val="587957296"/>
        <c:scaling>
          <c:orientation val="minMax"/>
          <c:min val="0"/>
        </c:scaling>
        <c:delete val="1"/>
        <c:axPos val="b"/>
        <c:numFmt formatCode="0.0%;\(0%\);&quot;-&quot;" sourceLinked="0"/>
        <c:majorTickMark val="none"/>
        <c:minorTickMark val="none"/>
        <c:tickLblPos val="nextTo"/>
        <c:crossAx val="587961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428782068400482E-2"/>
          <c:y val="3.2166182404867474E-2"/>
          <c:w val="0.83046085484731269"/>
          <c:h val="0.72831501194516879"/>
        </c:manualLayout>
      </c:layout>
      <c:barChart>
        <c:barDir val="col"/>
        <c:grouping val="clustered"/>
        <c:varyColors val="0"/>
        <c:ser>
          <c:idx val="0"/>
          <c:order val="0"/>
          <c:tx>
            <c:strRef>
              <c:f>'Dashboard 2'!$Y$43</c:f>
              <c:strCache>
                <c:ptCount val="1"/>
                <c:pt idx="0">
                  <c:v> Revenue </c:v>
                </c:pt>
              </c:strCache>
            </c:strRef>
          </c:tx>
          <c:spPr>
            <a:solidFill>
              <a:schemeClr val="accent3"/>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7-4665-4B53-AF3C-8584B7BEEDBF}"/>
              </c:ext>
            </c:extLst>
          </c:dPt>
          <c:dPt>
            <c:idx val="4"/>
            <c:invertIfNegative val="0"/>
            <c:bubble3D val="0"/>
            <c:spPr>
              <a:solidFill>
                <a:srgbClr val="C00000"/>
              </a:solidFill>
              <a:ln>
                <a:noFill/>
              </a:ln>
              <a:effectLst/>
            </c:spPr>
            <c:extLst>
              <c:ext xmlns:c16="http://schemas.microsoft.com/office/drawing/2014/chart" uri="{C3380CC4-5D6E-409C-BE32-E72D297353CC}">
                <c16:uniqueId val="{00000005-4665-4B53-AF3C-8584B7BEEDBF}"/>
              </c:ext>
            </c:extLst>
          </c:dPt>
          <c:dPt>
            <c:idx val="6"/>
            <c:invertIfNegative val="0"/>
            <c:bubble3D val="0"/>
            <c:spPr>
              <a:solidFill>
                <a:srgbClr val="C00000"/>
              </a:solidFill>
              <a:ln>
                <a:noFill/>
              </a:ln>
              <a:effectLst/>
            </c:spPr>
            <c:extLst>
              <c:ext xmlns:c16="http://schemas.microsoft.com/office/drawing/2014/chart" uri="{C3380CC4-5D6E-409C-BE32-E72D297353CC}">
                <c16:uniqueId val="{00000006-4665-4B53-AF3C-8584B7BEEDBF}"/>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8-4665-4B53-AF3C-8584B7BEEDBF}"/>
              </c:ext>
            </c:extLst>
          </c:dPt>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2'!$Y$44:$Y$56</c:f>
              <c:numCache>
                <c:formatCode>_(#,##0_);\(#,##0\);_("-"_);_(@_)</c:formatCode>
                <c:ptCount val="13"/>
                <c:pt idx="0">
                  <c:v>2822302.52</c:v>
                </c:pt>
                <c:pt idx="1">
                  <c:v>1600907.04</c:v>
                </c:pt>
                <c:pt idx="2">
                  <c:v>1248165.6000000001</c:v>
                </c:pt>
                <c:pt idx="3">
                  <c:v>1100184.6100000001</c:v>
                </c:pt>
                <c:pt idx="4">
                  <c:v>884423.17</c:v>
                </c:pt>
                <c:pt idx="5">
                  <c:v>848309.78</c:v>
                </c:pt>
                <c:pt idx="6">
                  <c:v>806161.31</c:v>
                </c:pt>
                <c:pt idx="7">
                  <c:v>783773.21</c:v>
                </c:pt>
                <c:pt idx="8">
                  <c:v>752826.57</c:v>
                </c:pt>
                <c:pt idx="9">
                  <c:v>725457.82</c:v>
                </c:pt>
                <c:pt idx="10">
                  <c:v>678781.24</c:v>
                </c:pt>
                <c:pt idx="11">
                  <c:v>324280.86</c:v>
                </c:pt>
                <c:pt idx="12">
                  <c:v>66928.17</c:v>
                </c:pt>
              </c:numCache>
            </c:numRef>
          </c:val>
          <c:extLst>
            <c:ext xmlns:c16="http://schemas.microsoft.com/office/drawing/2014/chart" uri="{C3380CC4-5D6E-409C-BE32-E72D297353CC}">
              <c16:uniqueId val="{00000000-4665-4B53-AF3C-8584B7BEEDBF}"/>
            </c:ext>
          </c:extLst>
        </c:ser>
        <c:dLbls>
          <c:showLegendKey val="0"/>
          <c:showVal val="0"/>
          <c:showCatName val="0"/>
          <c:showSerName val="0"/>
          <c:showPercent val="0"/>
          <c:showBubbleSize val="0"/>
        </c:dLbls>
        <c:gapWidth val="150"/>
        <c:axId val="795778503"/>
        <c:axId val="795781023"/>
      </c:barChart>
      <c:lineChart>
        <c:grouping val="standard"/>
        <c:varyColors val="0"/>
        <c:ser>
          <c:idx val="1"/>
          <c:order val="1"/>
          <c:tx>
            <c:strRef>
              <c:f>'Dashboard 2'!$Z$43</c:f>
              <c:strCache>
                <c:ptCount val="1"/>
                <c:pt idx="0">
                  <c:v> OC Margin % </c:v>
                </c:pt>
              </c:strCache>
            </c:strRef>
          </c:tx>
          <c:spPr>
            <a:ln w="28575" cap="rnd">
              <a:solidFill>
                <a:schemeClr val="tx2"/>
              </a:solidFill>
              <a:round/>
            </a:ln>
            <a:effectLst/>
          </c:spPr>
          <c:marker>
            <c:symbol val="none"/>
          </c:marker>
          <c:dLbls>
            <c:dLbl>
              <c:idx val="0"/>
              <c:layout>
                <c:manualLayout>
                  <c:x val="-9.5849744436184645E-2"/>
                  <c:y val="-4.1893445817005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65-4B53-AF3C-8584B7BEEDBF}"/>
                </c:ext>
              </c:extLst>
            </c:dLbl>
            <c:dLbl>
              <c:idx val="1"/>
              <c:layout>
                <c:manualLayout>
                  <c:x val="-3.9780093321741615E-2"/>
                  <c:y val="-0.218225805570527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65-4B53-AF3C-8584B7BEEDBF}"/>
                </c:ext>
              </c:extLst>
            </c:dLbl>
            <c:dLbl>
              <c:idx val="3"/>
              <c:layout>
                <c:manualLayout>
                  <c:x val="-3.1699253441675519E-2"/>
                  <c:y val="-4.18934458170058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65-4B53-AF3C-8584B7BEEDBF}"/>
                </c:ext>
              </c:extLst>
            </c:dLbl>
            <c:dLbl>
              <c:idx val="4"/>
              <c:layout>
                <c:manualLayout>
                  <c:x val="-4.1962360857539495E-2"/>
                  <c:y val="-0.206317282619779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665-4B53-AF3C-8584B7BEEDBF}"/>
                </c:ext>
              </c:extLst>
            </c:dLbl>
            <c:dLbl>
              <c:idx val="6"/>
              <c:layout>
                <c:manualLayout>
                  <c:x val="-2.6856767197256392E-2"/>
                  <c:y val="-0.128614278482672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665-4B53-AF3C-8584B7BEEDBF}"/>
                </c:ext>
              </c:extLst>
            </c:dLbl>
            <c:dLbl>
              <c:idx val="7"/>
              <c:layout>
                <c:manualLayout>
                  <c:x val="-4.8690433246654903E-2"/>
                  <c:y val="-4.767483466138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665-4B53-AF3C-8584B7BEEDBF}"/>
                </c:ext>
              </c:extLst>
            </c:dLbl>
            <c:dLbl>
              <c:idx val="9"/>
              <c:layout>
                <c:manualLayout>
                  <c:x val="-4.656653577103248E-2"/>
                  <c:y val="3.03739147377160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665-4B53-AF3C-8584B7BEEDBF}"/>
                </c:ext>
              </c:extLst>
            </c:dLbl>
            <c:dLbl>
              <c:idx val="11"/>
              <c:layout>
                <c:manualLayout>
                  <c:x val="-4.4442638295410057E-2"/>
                  <c:y val="3.3264609159905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665-4B53-AF3C-8584B7BEED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2'!$X$44:$X$56</c:f>
              <c:strCache>
                <c:ptCount val="13"/>
                <c:pt idx="0">
                  <c:v> Central </c:v>
                </c:pt>
                <c:pt idx="1">
                  <c:v> South </c:v>
                </c:pt>
                <c:pt idx="2">
                  <c:v> North </c:v>
                </c:pt>
                <c:pt idx="3">
                  <c:v> Oceania </c:v>
                </c:pt>
                <c:pt idx="4">
                  <c:v> Southeast Asia </c:v>
                </c:pt>
                <c:pt idx="5">
                  <c:v> North Asia </c:v>
                </c:pt>
                <c:pt idx="6">
                  <c:v> EMEA </c:v>
                </c:pt>
                <c:pt idx="7">
                  <c:v> Africa </c:v>
                </c:pt>
                <c:pt idx="8">
                  <c:v> Central Asia </c:v>
                </c:pt>
                <c:pt idx="9">
                  <c:v> West </c:v>
                </c:pt>
                <c:pt idx="10">
                  <c:v> East </c:v>
                </c:pt>
                <c:pt idx="11">
                  <c:v> Caribbean </c:v>
                </c:pt>
                <c:pt idx="12">
                  <c:v> Canada </c:v>
                </c:pt>
              </c:strCache>
            </c:strRef>
          </c:cat>
          <c:val>
            <c:numRef>
              <c:f>'Dashboard 2'!$Z$44:$Z$56</c:f>
              <c:numCache>
                <c:formatCode>0.0%;\(0.0%\);"-"</c:formatCode>
                <c:ptCount val="13"/>
                <c:pt idx="0">
                  <c:v>0.11</c:v>
                </c:pt>
                <c:pt idx="1">
                  <c:v>0.09</c:v>
                </c:pt>
                <c:pt idx="2">
                  <c:v>0.16</c:v>
                </c:pt>
                <c:pt idx="3">
                  <c:v>0.11</c:v>
                </c:pt>
                <c:pt idx="4">
                  <c:v>0.02</c:v>
                </c:pt>
                <c:pt idx="5">
                  <c:v>0.2</c:v>
                </c:pt>
                <c:pt idx="6">
                  <c:v>0.05</c:v>
                </c:pt>
                <c:pt idx="7">
                  <c:v>0.11</c:v>
                </c:pt>
                <c:pt idx="8">
                  <c:v>0.18</c:v>
                </c:pt>
                <c:pt idx="9">
                  <c:v>0.15</c:v>
                </c:pt>
                <c:pt idx="10">
                  <c:v>0.13</c:v>
                </c:pt>
                <c:pt idx="11">
                  <c:v>0.11</c:v>
                </c:pt>
                <c:pt idx="12">
                  <c:v>0.27</c:v>
                </c:pt>
              </c:numCache>
            </c:numRef>
          </c:val>
          <c:smooth val="0"/>
          <c:extLst>
            <c:ext xmlns:c16="http://schemas.microsoft.com/office/drawing/2014/chart" uri="{C3380CC4-5D6E-409C-BE32-E72D297353CC}">
              <c16:uniqueId val="{00000001-4665-4B53-AF3C-8584B7BEEDBF}"/>
            </c:ext>
          </c:extLst>
        </c:ser>
        <c:dLbls>
          <c:showLegendKey val="0"/>
          <c:showVal val="0"/>
          <c:showCatName val="0"/>
          <c:showSerName val="0"/>
          <c:showPercent val="0"/>
          <c:showBubbleSize val="0"/>
        </c:dLbls>
        <c:marker val="1"/>
        <c:smooth val="0"/>
        <c:axId val="2043291240"/>
        <c:axId val="2043289800"/>
      </c:lineChart>
      <c:catAx>
        <c:axId val="795778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81023"/>
        <c:crosses val="autoZero"/>
        <c:auto val="1"/>
        <c:lblAlgn val="ctr"/>
        <c:lblOffset val="100"/>
        <c:noMultiLvlLbl val="0"/>
      </c:catAx>
      <c:valAx>
        <c:axId val="795781023"/>
        <c:scaling>
          <c:orientation val="minMax"/>
        </c:scaling>
        <c:delete val="0"/>
        <c:axPos val="l"/>
        <c:numFmt formatCode="&quot;$&quot;0.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795778503"/>
        <c:crosses val="autoZero"/>
        <c:crossBetween val="between"/>
      </c:valAx>
      <c:valAx>
        <c:axId val="2043289800"/>
        <c:scaling>
          <c:orientation val="minMax"/>
        </c:scaling>
        <c:delete val="0"/>
        <c:axPos val="r"/>
        <c:numFmt formatCode="0.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91240"/>
        <c:crosses val="max"/>
        <c:crossBetween val="between"/>
      </c:valAx>
      <c:catAx>
        <c:axId val="2043291240"/>
        <c:scaling>
          <c:orientation val="minMax"/>
        </c:scaling>
        <c:delete val="1"/>
        <c:axPos val="b"/>
        <c:numFmt formatCode="General" sourceLinked="1"/>
        <c:majorTickMark val="out"/>
        <c:minorTickMark val="none"/>
        <c:tickLblPos val="nextTo"/>
        <c:crossAx val="2043289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ln>
              <a:noFill/>
            </a:ln>
          </cx:spPr>
        </cx:plotSurface>
        <cx:series layoutId="waterfall" uniqueId="{1451093D-9159-4593-83D0-FAFBEBB77AF5}">
          <cx:dataPt idx="0">
            <cx:spPr>
              <a:solidFill>
                <a:srgbClr val="4EA72E">
                  <a:lumMod val="50000"/>
                </a:srgbClr>
              </a:solidFill>
            </cx:spPr>
          </cx:dataPt>
          <cx:dataPt idx="1">
            <cx:spPr>
              <a:solidFill>
                <a:sysClr val="window" lastClr="FFFFFF">
                  <a:lumMod val="65000"/>
                </a:sysClr>
              </a:solidFill>
            </cx:spPr>
          </cx:dataPt>
          <cx:dataPt idx="2">
            <cx:spPr>
              <a:solidFill>
                <a:sysClr val="window" lastClr="FFFFFF">
                  <a:lumMod val="65000"/>
                </a:sysClr>
              </a:solidFill>
            </cx:spPr>
          </cx:dataPt>
          <cx:dataPt idx="3">
            <cx:spPr>
              <a:solidFill>
                <a:sysClr val="window" lastClr="FFFFFF">
                  <a:lumMod val="65000"/>
                </a:sysClr>
              </a:solidFill>
            </cx:spPr>
          </cx:dataPt>
          <cx:dataPt idx="4">
            <cx:spPr>
              <a:solidFill>
                <a:srgbClr val="4EA72E">
                  <a:lumMod val="50000"/>
                </a:srgbClr>
              </a:solidFill>
            </cx:spPr>
          </cx:dataPt>
          <cx:dataLabels pos="outEnd">
            <cx:visibility seriesName="0" categoryName="0" value="1"/>
          </cx:dataLabels>
          <cx:dataId val="0"/>
          <cx:layoutPr>
            <cx:subtotals>
              <cx:idx val="0"/>
              <cx:idx val="4"/>
            </cx:subtotals>
          </cx:layoutPr>
        </cx:series>
      </cx:plotAreaRegion>
      <cx:axis id="0">
        <cx:catScaling gapWidth="0.5"/>
        <cx:tickLabels/>
      </cx:axis>
      <cx:axis id="1" hidden="1">
        <cx:valScaling/>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plotSurface>
          <cx:spPr>
            <a:ln>
              <a:noFill/>
            </a:ln>
          </cx:spPr>
        </cx:plotSurface>
        <cx:series layoutId="waterfall" uniqueId="{1451093D-9159-4593-83D0-FAFBEBB77AF5}">
          <cx:dataPt idx="0">
            <cx:spPr>
              <a:solidFill>
                <a:srgbClr val="4EA72E">
                  <a:lumMod val="50000"/>
                </a:srgbClr>
              </a:solidFill>
            </cx:spPr>
          </cx:dataPt>
          <cx:dataPt idx="1">
            <cx:spPr>
              <a:solidFill>
                <a:sysClr val="window" lastClr="FFFFFF">
                  <a:lumMod val="65000"/>
                </a:sysClr>
              </a:solidFill>
            </cx:spPr>
          </cx:dataPt>
          <cx:dataPt idx="2">
            <cx:spPr>
              <a:solidFill>
                <a:sysClr val="window" lastClr="FFFFFF">
                  <a:lumMod val="65000"/>
                </a:sysClr>
              </a:solidFill>
            </cx:spPr>
          </cx:dataPt>
          <cx:dataPt idx="3">
            <cx:spPr>
              <a:solidFill>
                <a:sysClr val="window" lastClr="FFFFFF">
                  <a:lumMod val="65000"/>
                </a:sysClr>
              </a:solidFill>
            </cx:spPr>
          </cx:dataPt>
          <cx:dataPt idx="4">
            <cx:spPr>
              <a:solidFill>
                <a:srgbClr val="4EA72E">
                  <a:lumMod val="50000"/>
                </a:srgbClr>
              </a:solidFill>
            </cx:spPr>
          </cx:dataPt>
          <cx:dataLabels pos="outEnd">
            <cx:visibility seriesName="0" categoryName="0" value="1"/>
          </cx:dataLabels>
          <cx:dataId val="0"/>
          <cx:layoutPr>
            <cx:subtotals>
              <cx:idx val="0"/>
              <cx:idx val="4"/>
            </cx:subtotals>
          </cx:layoutPr>
        </cx:series>
      </cx:plotAreaRegion>
      <cx:axis id="0">
        <cx:catScaling gapWidth="0.5"/>
        <cx:tickLabels/>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31" fmlaLink="$D$7" fmlaRange="$B$92:$B$94" noThreeD="1" sel="3" val="0"/>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26</xdr:row>
      <xdr:rowOff>1</xdr:rowOff>
    </xdr:from>
    <xdr:to>
      <xdr:col>8</xdr:col>
      <xdr:colOff>311727</xdr:colOff>
      <xdr:row>32</xdr:row>
      <xdr:rowOff>94575</xdr:rowOff>
    </xdr:to>
    <xdr:sp macro="" textlink="">
      <xdr:nvSpPr>
        <xdr:cNvPr id="4" name="Rectangle 3">
          <a:extLst>
            <a:ext uri="{FF2B5EF4-FFF2-40B4-BE49-F238E27FC236}">
              <a16:creationId xmlns:a16="http://schemas.microsoft.com/office/drawing/2014/main" id="{42FFE793-0409-EDF2-A3CF-5EE5E62952D2}"/>
            </a:ext>
          </a:extLst>
        </xdr:cNvPr>
        <xdr:cNvSpPr/>
      </xdr:nvSpPr>
      <xdr:spPr>
        <a:xfrm>
          <a:off x="607979" y="5485320"/>
          <a:ext cx="5513322" cy="1229468"/>
        </a:xfrm>
        <a:prstGeom prst="rect">
          <a:avLst/>
        </a:prstGeom>
        <a:solidFill>
          <a:schemeClr val="bg1"/>
        </a:solidFill>
        <a:ln w="28575">
          <a:solidFill>
            <a:srgbClr val="1F4E3D"/>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Open Sans" panose="020B0606030504020204" pitchFamily="34" charset="0"/>
              <a:ea typeface="Open Sans" panose="020B0606030504020204" pitchFamily="34" charset="0"/>
              <a:cs typeface="Open Sans" panose="020B0606030504020204" pitchFamily="34" charset="0"/>
            </a:rPr>
            <a:t>Key Strengths</a:t>
          </a:r>
        </a:p>
        <a:p>
          <a:pPr algn="l"/>
          <a:r>
            <a:rPr lang="en-US" sz="1400">
              <a:solidFill>
                <a:schemeClr val="tx1"/>
              </a:solidFill>
            </a:rPr>
            <a:t>•</a:t>
          </a:r>
          <a:r>
            <a:rPr lang="en-US" sz="1400" b="1" baseline="0">
              <a:solidFill>
                <a:schemeClr val="tx1"/>
              </a:solidFill>
              <a:latin typeface="Open Sans" panose="020B0606030504020204" pitchFamily="34" charset="0"/>
              <a:ea typeface="Open Sans" panose="020B0606030504020204" pitchFamily="34" charset="0"/>
              <a:cs typeface="Open Sans" panose="020B0606030504020204" pitchFamily="34" charset="0"/>
            </a:rPr>
            <a:t> ~24% revenue CAGR</a:t>
          </a:r>
        </a:p>
        <a:p>
          <a:pPr algn="l"/>
          <a:r>
            <a:rPr lang="en-US" sz="1100">
              <a:solidFill>
                <a:schemeClr val="tx1"/>
              </a:solidFill>
              <a:effectLst/>
              <a:latin typeface="+mn-lt"/>
              <a:ea typeface="+mn-ea"/>
              <a:cs typeface="+mn-cs"/>
            </a:rPr>
            <a:t>•</a:t>
          </a:r>
          <a:r>
            <a:rPr lang="en-US" sz="1400" b="1" baseline="0">
              <a:solidFill>
                <a:schemeClr val="tx1"/>
              </a:solidFill>
              <a:latin typeface="Open Sans" panose="020B0606030504020204" pitchFamily="34" charset="0"/>
              <a:ea typeface="Open Sans" panose="020B0606030504020204" pitchFamily="34" charset="0"/>
              <a:cs typeface="Open Sans" panose="020B0606030504020204" pitchFamily="34" charset="0"/>
            </a:rPr>
            <a:t> Stable ~12% margins</a:t>
          </a:r>
        </a:p>
        <a:p>
          <a:pPr algn="l"/>
          <a:r>
            <a:rPr lang="en-US" sz="1100">
              <a:solidFill>
                <a:schemeClr val="tx1"/>
              </a:solidFill>
              <a:effectLst/>
              <a:latin typeface="+mn-lt"/>
              <a:ea typeface="+mn-ea"/>
              <a:cs typeface="+mn-cs"/>
            </a:rPr>
            <a:t>•</a:t>
          </a:r>
          <a:r>
            <a:rPr lang="en-US" sz="1400" b="1" baseline="0">
              <a:solidFill>
                <a:schemeClr val="tx1"/>
              </a:solidFill>
              <a:latin typeface="Open Sans" panose="020B0606030504020204" pitchFamily="34" charset="0"/>
              <a:ea typeface="Open Sans" panose="020B0606030504020204" pitchFamily="34" charset="0"/>
              <a:cs typeface="Open Sans" panose="020B0606030504020204" pitchFamily="34" charset="0"/>
            </a:rPr>
            <a:t> Diversified customer base</a:t>
          </a:r>
          <a:endParaRPr lang="en-US" sz="1400" b="1">
            <a:solidFill>
              <a:schemeClr val="tx1"/>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8</xdr:col>
      <xdr:colOff>588817</xdr:colOff>
      <xdr:row>26</xdr:row>
      <xdr:rowOff>1</xdr:rowOff>
    </xdr:from>
    <xdr:to>
      <xdr:col>18</xdr:col>
      <xdr:colOff>0</xdr:colOff>
      <xdr:row>32</xdr:row>
      <xdr:rowOff>94575</xdr:rowOff>
    </xdr:to>
    <xdr:sp macro="" textlink="">
      <xdr:nvSpPr>
        <xdr:cNvPr id="5" name="Rectangle 4">
          <a:extLst>
            <a:ext uri="{FF2B5EF4-FFF2-40B4-BE49-F238E27FC236}">
              <a16:creationId xmlns:a16="http://schemas.microsoft.com/office/drawing/2014/main" id="{F2DB5E90-5D15-BFB5-F6E1-24DA5FCFBAE9}"/>
            </a:ext>
          </a:extLst>
        </xdr:cNvPr>
        <xdr:cNvSpPr/>
      </xdr:nvSpPr>
      <xdr:spPr>
        <a:xfrm>
          <a:off x="6398391" y="5485320"/>
          <a:ext cx="5490971" cy="1229468"/>
        </a:xfrm>
        <a:prstGeom prst="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Open Sans" panose="020B0606030504020204" pitchFamily="34" charset="0"/>
              <a:ea typeface="Open Sans" panose="020B0606030504020204" pitchFamily="34" charset="0"/>
              <a:cs typeface="Open Sans" panose="020B0606030504020204" pitchFamily="34" charset="0"/>
            </a:rPr>
            <a:t>Key Risks</a:t>
          </a:r>
        </a:p>
        <a:p>
          <a:pPr algn="l"/>
          <a:r>
            <a:rPr lang="en-US" sz="1100">
              <a:solidFill>
                <a:schemeClr val="tx1"/>
              </a:solidFill>
              <a:effectLst/>
              <a:latin typeface="+mn-lt"/>
              <a:ea typeface="+mn-ea"/>
              <a:cs typeface="+mn-cs"/>
            </a:rPr>
            <a:t>•</a:t>
          </a:r>
          <a:r>
            <a:rPr lang="en-US" sz="1400" b="1">
              <a:solidFill>
                <a:schemeClr val="tx1"/>
              </a:solidFill>
              <a:latin typeface="Open Sans" panose="020B0606030504020204" pitchFamily="34" charset="0"/>
              <a:ea typeface="Open Sans" panose="020B0606030504020204" pitchFamily="34" charset="0"/>
              <a:cs typeface="Open Sans" panose="020B0606030504020204" pitchFamily="34" charset="0"/>
            </a:rPr>
            <a:t> Furniture:</a:t>
          </a:r>
          <a:r>
            <a:rPr lang="en-US" sz="1400" b="1" baseline="0">
              <a:solidFill>
                <a:schemeClr val="tx1"/>
              </a:solidFill>
              <a:latin typeface="Open Sans" panose="020B0606030504020204" pitchFamily="34" charset="0"/>
              <a:ea typeface="Open Sans" panose="020B0606030504020204" pitchFamily="34" charset="0"/>
              <a:cs typeface="Open Sans" panose="020B0606030504020204" pitchFamily="34" charset="0"/>
            </a:rPr>
            <a:t> 33% revenue, ~6% profit</a:t>
          </a:r>
        </a:p>
        <a:p>
          <a:pPr algn="l"/>
          <a:r>
            <a:rPr lang="en-US" sz="1100">
              <a:solidFill>
                <a:schemeClr val="tx1"/>
              </a:solidFill>
              <a:effectLst/>
              <a:latin typeface="+mn-lt"/>
              <a:ea typeface="+mn-ea"/>
              <a:cs typeface="+mn-cs"/>
            </a:rPr>
            <a:t>•</a:t>
          </a:r>
          <a:r>
            <a:rPr lang="en-US" sz="1400" b="1" baseline="0">
              <a:solidFill>
                <a:schemeClr val="tx1"/>
              </a:solidFill>
              <a:latin typeface="Open Sans" panose="020B0606030504020204" pitchFamily="34" charset="0"/>
              <a:ea typeface="Open Sans" panose="020B0606030504020204" pitchFamily="34" charset="0"/>
              <a:cs typeface="Open Sans" panose="020B0606030504020204" pitchFamily="34" charset="0"/>
            </a:rPr>
            <a:t> Loss-making sub-categories</a:t>
          </a:r>
        </a:p>
        <a:p>
          <a:pPr algn="l"/>
          <a:r>
            <a:rPr lang="en-US" sz="1100">
              <a:solidFill>
                <a:schemeClr val="tx1"/>
              </a:solidFill>
              <a:effectLst/>
              <a:latin typeface="+mn-lt"/>
              <a:ea typeface="+mn-ea"/>
              <a:cs typeface="+mn-cs"/>
            </a:rPr>
            <a:t>•</a:t>
          </a:r>
          <a:r>
            <a:rPr lang="en-US" sz="1400" b="1" baseline="0">
              <a:solidFill>
                <a:schemeClr val="tx1"/>
              </a:solidFill>
              <a:latin typeface="Open Sans" panose="020B0606030504020204" pitchFamily="34" charset="0"/>
              <a:ea typeface="Open Sans" panose="020B0606030504020204" pitchFamily="34" charset="0"/>
              <a:cs typeface="Open Sans" panose="020B0606030504020204" pitchFamily="34" charset="0"/>
            </a:rPr>
            <a:t> High discounting pressure</a:t>
          </a:r>
        </a:p>
        <a:p>
          <a:pPr algn="l"/>
          <a:endParaRPr lang="en-US" sz="1400" b="1">
            <a:solidFill>
              <a:schemeClr val="tx1"/>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5</xdr:row>
          <xdr:rowOff>190500</xdr:rowOff>
        </xdr:from>
        <xdr:to>
          <xdr:col>4</xdr:col>
          <xdr:colOff>298450</xdr:colOff>
          <xdr:row>7</xdr:row>
          <xdr:rowOff>0</xdr:rowOff>
        </xdr:to>
        <xdr:sp macro="" textlink="">
          <xdr:nvSpPr>
            <xdr:cNvPr id="16385" name="Drop Down 1"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6</xdr:col>
      <xdr:colOff>0</xdr:colOff>
      <xdr:row>6</xdr:row>
      <xdr:rowOff>0</xdr:rowOff>
    </xdr:from>
    <xdr:to>
      <xdr:col>9</xdr:col>
      <xdr:colOff>578711</xdr:colOff>
      <xdr:row>13</xdr:row>
      <xdr:rowOff>26874</xdr:rowOff>
    </xdr:to>
    <xdr:sp macro="" textlink="">
      <xdr:nvSpPr>
        <xdr:cNvPr id="2" name="Rectangle 1">
          <a:extLst>
            <a:ext uri="{FF2B5EF4-FFF2-40B4-BE49-F238E27FC236}">
              <a16:creationId xmlns:a16="http://schemas.microsoft.com/office/drawing/2014/main" id="{0493390C-86D7-4092-8BF4-01D26128DC25}"/>
            </a:ext>
          </a:extLst>
        </xdr:cNvPr>
        <xdr:cNvSpPr/>
      </xdr:nvSpPr>
      <xdr:spPr>
        <a:xfrm>
          <a:off x="3657600" y="1568450"/>
          <a:ext cx="2407511" cy="1493724"/>
        </a:xfrm>
        <a:prstGeom prst="rect">
          <a:avLst/>
        </a:prstGeom>
        <a:solidFill>
          <a:srgbClr val="1F4E3D"/>
        </a:solidFill>
        <a:ln w="6350">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16</xdr:col>
      <xdr:colOff>0</xdr:colOff>
      <xdr:row>6</xdr:row>
      <xdr:rowOff>15486</xdr:rowOff>
    </xdr:from>
    <xdr:to>
      <xdr:col>19</xdr:col>
      <xdr:colOff>578711</xdr:colOff>
      <xdr:row>13</xdr:row>
      <xdr:rowOff>42360</xdr:rowOff>
    </xdr:to>
    <xdr:sp macro="" textlink="">
      <xdr:nvSpPr>
        <xdr:cNvPr id="3" name="Rectangle 2">
          <a:extLst>
            <a:ext uri="{FF2B5EF4-FFF2-40B4-BE49-F238E27FC236}">
              <a16:creationId xmlns:a16="http://schemas.microsoft.com/office/drawing/2014/main" id="{FD47CB90-B7DE-4D1A-8861-A3306B3D1E8F}"/>
            </a:ext>
          </a:extLst>
        </xdr:cNvPr>
        <xdr:cNvSpPr/>
      </xdr:nvSpPr>
      <xdr:spPr>
        <a:xfrm>
          <a:off x="9753600" y="1583936"/>
          <a:ext cx="2407511" cy="1493724"/>
        </a:xfrm>
        <a:prstGeom prst="rect">
          <a:avLst/>
        </a:prstGeom>
        <a:solidFill>
          <a:srgbClr val="1F4E3D"/>
        </a:solidFill>
        <a:ln w="6350">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14767</xdr:colOff>
      <xdr:row>40</xdr:row>
      <xdr:rowOff>160299</xdr:rowOff>
    </xdr:from>
    <xdr:to>
      <xdr:col>10</xdr:col>
      <xdr:colOff>0</xdr:colOff>
      <xdr:row>44</xdr:row>
      <xdr:rowOff>3816</xdr:rowOff>
    </xdr:to>
    <xdr:sp macro="" textlink="">
      <xdr:nvSpPr>
        <xdr:cNvPr id="4" name="TextBox 3">
          <a:extLst>
            <a:ext uri="{FF2B5EF4-FFF2-40B4-BE49-F238E27FC236}">
              <a16:creationId xmlns:a16="http://schemas.microsoft.com/office/drawing/2014/main" id="{E46B4A5F-32CE-458E-A883-74B2D36D0D56}"/>
            </a:ext>
          </a:extLst>
        </xdr:cNvPr>
        <xdr:cNvSpPr txBox="1"/>
      </xdr:nvSpPr>
      <xdr:spPr>
        <a:xfrm>
          <a:off x="624367" y="8872499"/>
          <a:ext cx="5471633" cy="6817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has compounded consistently from </a:t>
          </a:r>
          <a:r>
            <a:rPr lang="en-US" b="1"/>
            <a:t>$2.3M</a:t>
          </a:r>
          <a:r>
            <a:rPr lang="en-US"/>
            <a:t> to </a:t>
          </a:r>
          <a:r>
            <a:rPr lang="en-US" b="1"/>
            <a:t>$4.3M</a:t>
          </a:r>
          <a:r>
            <a:rPr lang="en-US"/>
            <a:t> over three years. Margin stability at 11–12% indicates a variable cost structure — growth is </a:t>
          </a:r>
          <a:r>
            <a:rPr lang="en-US" b="1"/>
            <a:t>volume-driven</a:t>
          </a:r>
          <a:r>
            <a:rPr lang="en-US"/>
            <a:t> rather than efficiency-driven. Limited margin expansion suggests </a:t>
          </a:r>
          <a:r>
            <a:rPr lang="en-US" b="1"/>
            <a:t>operating leverage has not yet been achieved.</a:t>
          </a:r>
          <a:endParaRPr lang="en-US" sz="1100" b="1"/>
        </a:p>
      </xdr:txBody>
    </xdr:sp>
    <xdr:clientData/>
  </xdr:twoCellAnchor>
  <xdr:twoCellAnchor>
    <xdr:from>
      <xdr:col>12</xdr:col>
      <xdr:colOff>23010</xdr:colOff>
      <xdr:row>40</xdr:row>
      <xdr:rowOff>160298</xdr:rowOff>
    </xdr:from>
    <xdr:to>
      <xdr:col>21</xdr:col>
      <xdr:colOff>8243</xdr:colOff>
      <xdr:row>44</xdr:row>
      <xdr:rowOff>124610</xdr:rowOff>
    </xdr:to>
    <xdr:sp macro="" textlink="">
      <xdr:nvSpPr>
        <xdr:cNvPr id="5" name="TextBox 4">
          <a:extLst>
            <a:ext uri="{FF2B5EF4-FFF2-40B4-BE49-F238E27FC236}">
              <a16:creationId xmlns:a16="http://schemas.microsoft.com/office/drawing/2014/main" id="{103D338B-1417-42C5-8EE6-55A31D6C0240}"/>
            </a:ext>
          </a:extLst>
        </xdr:cNvPr>
        <xdr:cNvSpPr txBox="1"/>
      </xdr:nvSpPr>
      <xdr:spPr>
        <a:xfrm>
          <a:off x="7338210" y="8872498"/>
          <a:ext cx="5471633" cy="802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Furniture generates 32.5% of revenue </a:t>
          </a:r>
          <a:r>
            <a:rPr lang="en-US"/>
            <a:t>but only </a:t>
          </a:r>
          <a:r>
            <a:rPr lang="en-US" b="1"/>
            <a:t>19.4% of profit </a:t>
          </a:r>
          <a:r>
            <a:rPr lang="en-US"/>
            <a:t>at </a:t>
          </a:r>
          <a:r>
            <a:rPr lang="en-US" b="1"/>
            <a:t>a 7% margin,</a:t>
          </a:r>
          <a:r>
            <a:rPr lang="en-US" b="1" baseline="0"/>
            <a:t> </a:t>
          </a:r>
          <a:r>
            <a:rPr lang="en-US"/>
            <a:t>half the company average. </a:t>
          </a:r>
          <a:r>
            <a:rPr lang="en-US" b="1"/>
            <a:t>Technology over-contributes at 45.2% of profit</a:t>
          </a:r>
          <a:r>
            <a:rPr lang="en-US"/>
            <a:t> from </a:t>
          </a:r>
          <a:r>
            <a:rPr lang="en-US" b="1"/>
            <a:t>37.5% of revenue</a:t>
          </a:r>
          <a:r>
            <a:rPr lang="en-US"/>
            <a:t>. This portfolio imbalance represents the primary commercial risk and the largest value creation opportunity.</a:t>
          </a:r>
          <a:endParaRPr lang="en-US" sz="1100" b="1"/>
        </a:p>
      </xdr:txBody>
    </xdr:sp>
    <xdr:clientData/>
  </xdr:twoCellAnchor>
  <xdr:twoCellAnchor>
    <xdr:from>
      <xdr:col>1</xdr:col>
      <xdr:colOff>14767</xdr:colOff>
      <xdr:row>46</xdr:row>
      <xdr:rowOff>128814</xdr:rowOff>
    </xdr:from>
    <xdr:to>
      <xdr:col>10</xdr:col>
      <xdr:colOff>422452</xdr:colOff>
      <xdr:row>67</xdr:row>
      <xdr:rowOff>2926</xdr:rowOff>
    </xdr:to>
    <xdr:graphicFrame macro="">
      <xdr:nvGraphicFramePr>
        <xdr:cNvPr id="6" name="Chart 5">
          <a:extLst>
            <a:ext uri="{FF2B5EF4-FFF2-40B4-BE49-F238E27FC236}">
              <a16:creationId xmlns:a16="http://schemas.microsoft.com/office/drawing/2014/main" id="{1FC532EA-3550-45F7-929A-3CF6C80FD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14767</xdr:colOff>
      <xdr:row>67</xdr:row>
      <xdr:rowOff>151131</xdr:rowOff>
    </xdr:from>
    <xdr:to>
      <xdr:col>10</xdr:col>
      <xdr:colOff>0</xdr:colOff>
      <xdr:row>71</xdr:row>
      <xdr:rowOff>123113</xdr:rowOff>
    </xdr:to>
    <xdr:sp macro="" textlink="">
      <xdr:nvSpPr>
        <xdr:cNvPr id="7" name="TextBox 6">
          <a:extLst>
            <a:ext uri="{FF2B5EF4-FFF2-40B4-BE49-F238E27FC236}">
              <a16:creationId xmlns:a16="http://schemas.microsoft.com/office/drawing/2014/main" id="{34FF466F-980E-42EB-B081-0048A9A89B04}"/>
            </a:ext>
          </a:extLst>
        </xdr:cNvPr>
        <xdr:cNvSpPr txBox="1"/>
      </xdr:nvSpPr>
      <xdr:spPr>
        <a:xfrm>
          <a:off x="624367" y="14540231"/>
          <a:ext cx="5471633" cy="8101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Tables is the only sub-category </a:t>
          </a:r>
          <a:r>
            <a:rPr lang="en-US" b="1"/>
            <a:t>generating negative operating contribution</a:t>
          </a:r>
          <a:r>
            <a:rPr lang="en-US"/>
            <a:t>, driven by </a:t>
          </a:r>
          <a:r>
            <a:rPr lang="en-US" b="1"/>
            <a:t>excessive discounting </a:t>
          </a:r>
          <a:r>
            <a:rPr lang="en-US"/>
            <a:t>at </a:t>
          </a:r>
          <a:r>
            <a:rPr lang="en-US" b="1"/>
            <a:t>29%</a:t>
          </a:r>
          <a:r>
            <a:rPr lang="en-US"/>
            <a:t> versus the </a:t>
          </a:r>
          <a:r>
            <a:rPr lang="en-US" b="1"/>
            <a:t>14.3%</a:t>
          </a:r>
          <a:r>
            <a:rPr lang="en-US"/>
            <a:t> company average. Unit economics confirm this is a </a:t>
          </a:r>
          <a:r>
            <a:rPr lang="en-US" b="1"/>
            <a:t>pricing-led issue</a:t>
          </a:r>
          <a:r>
            <a:rPr lang="en-US"/>
            <a:t>,</a:t>
          </a:r>
          <a:r>
            <a:rPr lang="en-US" baseline="0"/>
            <a:t> </a:t>
          </a:r>
          <a:r>
            <a:rPr lang="en-US"/>
            <a:t>the effective selling price has been discounted below unit cost. This is immediately correctable through pricing discipline alone.</a:t>
          </a:r>
          <a:endParaRPr lang="en-US" sz="1100" b="1"/>
        </a:p>
      </xdr:txBody>
    </xdr:sp>
    <xdr:clientData/>
  </xdr:twoCellAnchor>
  <xdr:twoCellAnchor>
    <xdr:from>
      <xdr:col>12</xdr:col>
      <xdr:colOff>23010</xdr:colOff>
      <xdr:row>20</xdr:row>
      <xdr:rowOff>125873</xdr:rowOff>
    </xdr:from>
    <xdr:to>
      <xdr:col>21</xdr:col>
      <xdr:colOff>389943</xdr:colOff>
      <xdr:row>41</xdr:row>
      <xdr:rowOff>4828</xdr:rowOff>
    </xdr:to>
    <xdr:graphicFrame macro="">
      <xdr:nvGraphicFramePr>
        <xdr:cNvPr id="8" name="Chart 7">
          <a:extLst>
            <a:ext uri="{FF2B5EF4-FFF2-40B4-BE49-F238E27FC236}">
              <a16:creationId xmlns:a16="http://schemas.microsoft.com/office/drawing/2014/main" id="{6AF1CF85-6F95-4C2A-B697-8FD17418E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23010</xdr:colOff>
      <xdr:row>67</xdr:row>
      <xdr:rowOff>158801</xdr:rowOff>
    </xdr:from>
    <xdr:to>
      <xdr:col>21</xdr:col>
      <xdr:colOff>8243</xdr:colOff>
      <xdr:row>71</xdr:row>
      <xdr:rowOff>123113</xdr:rowOff>
    </xdr:to>
    <xdr:sp macro="" textlink="">
      <xdr:nvSpPr>
        <xdr:cNvPr id="9" name="TextBox 8">
          <a:extLst>
            <a:ext uri="{FF2B5EF4-FFF2-40B4-BE49-F238E27FC236}">
              <a16:creationId xmlns:a16="http://schemas.microsoft.com/office/drawing/2014/main" id="{0847DE72-F163-4042-81F9-1FC2065551C6}"/>
            </a:ext>
          </a:extLst>
        </xdr:cNvPr>
        <xdr:cNvSpPr txBox="1"/>
      </xdr:nvSpPr>
      <xdr:spPr>
        <a:xfrm>
          <a:off x="7338210" y="14547901"/>
          <a:ext cx="5471633" cy="802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concentration in specific regions presents geographic risk for an acquirer. Margin variance across regions indicates inconsistent commercial execution and pricing discipline. Underperforming regions represent </a:t>
          </a:r>
          <a:r>
            <a:rPr lang="en-US" b="1"/>
            <a:t>operational improvement potential </a:t>
          </a:r>
          <a:r>
            <a:rPr lang="en-US"/>
            <a:t>subject to </a:t>
          </a:r>
          <a:r>
            <a:rPr lang="en-US" b="1"/>
            <a:t>further cost-to-serve analysis.</a:t>
          </a:r>
          <a:endParaRPr lang="en-US" sz="1100" b="1"/>
        </a:p>
      </xdr:txBody>
    </xdr:sp>
    <xdr:clientData/>
  </xdr:twoCellAnchor>
  <xdr:twoCellAnchor>
    <xdr:from>
      <xdr:col>1</xdr:col>
      <xdr:colOff>14767</xdr:colOff>
      <xdr:row>20</xdr:row>
      <xdr:rowOff>125873</xdr:rowOff>
    </xdr:from>
    <xdr:to>
      <xdr:col>10</xdr:col>
      <xdr:colOff>432723</xdr:colOff>
      <xdr:row>40</xdr:row>
      <xdr:rowOff>205002</xdr:rowOff>
    </xdr:to>
    <xdr:graphicFrame macro="">
      <xdr:nvGraphicFramePr>
        <xdr:cNvPr id="10" name="Chart 9">
          <a:extLst>
            <a:ext uri="{FF2B5EF4-FFF2-40B4-BE49-F238E27FC236}">
              <a16:creationId xmlns:a16="http://schemas.microsoft.com/office/drawing/2014/main" id="{B6127191-04D8-47B4-AD2D-60ADB05B8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14767</xdr:colOff>
      <xdr:row>74</xdr:row>
      <xdr:rowOff>133536</xdr:rowOff>
    </xdr:from>
    <xdr:to>
      <xdr:col>10</xdr:col>
      <xdr:colOff>468656</xdr:colOff>
      <xdr:row>95</xdr:row>
      <xdr:rowOff>21351</xdr:rowOff>
    </xdr:to>
    <xdr:graphicFrame macro="">
      <xdr:nvGraphicFramePr>
        <xdr:cNvPr id="11" name="Chart 10">
          <a:extLst>
            <a:ext uri="{FF2B5EF4-FFF2-40B4-BE49-F238E27FC236}">
              <a16:creationId xmlns:a16="http://schemas.microsoft.com/office/drawing/2014/main" id="{8D94250B-EA25-4568-9C80-A340236CB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20873</xdr:colOff>
      <xdr:row>67</xdr:row>
      <xdr:rowOff>149095</xdr:rowOff>
    </xdr:from>
    <xdr:to>
      <xdr:col>10</xdr:col>
      <xdr:colOff>6106</xdr:colOff>
      <xdr:row>71</xdr:row>
      <xdr:rowOff>121077</xdr:rowOff>
    </xdr:to>
    <xdr:sp macro="" textlink="">
      <xdr:nvSpPr>
        <xdr:cNvPr id="12" name="TextBox 11">
          <a:extLst>
            <a:ext uri="{FF2B5EF4-FFF2-40B4-BE49-F238E27FC236}">
              <a16:creationId xmlns:a16="http://schemas.microsoft.com/office/drawing/2014/main" id="{CBB07146-2688-447A-9D2B-1D7A91C1DF92}"/>
            </a:ext>
          </a:extLst>
        </xdr:cNvPr>
        <xdr:cNvSpPr txBox="1"/>
      </xdr:nvSpPr>
      <xdr:spPr>
        <a:xfrm>
          <a:off x="630473" y="14538195"/>
          <a:ext cx="5471633" cy="8101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Tables is the only sub-category </a:t>
          </a:r>
          <a:r>
            <a:rPr lang="en-US" b="1"/>
            <a:t>generating negative operating contribution</a:t>
          </a:r>
          <a:r>
            <a:rPr lang="en-US"/>
            <a:t>, driven by </a:t>
          </a:r>
          <a:r>
            <a:rPr lang="en-US" b="1"/>
            <a:t>excessive discounting </a:t>
          </a:r>
          <a:r>
            <a:rPr lang="en-US"/>
            <a:t>at </a:t>
          </a:r>
          <a:r>
            <a:rPr lang="en-US" b="1"/>
            <a:t>29%</a:t>
          </a:r>
          <a:r>
            <a:rPr lang="en-US"/>
            <a:t> versus the </a:t>
          </a:r>
          <a:r>
            <a:rPr lang="en-US" b="1"/>
            <a:t>14.3%</a:t>
          </a:r>
          <a:r>
            <a:rPr lang="en-US"/>
            <a:t> company average. Unit economics confirm this is a </a:t>
          </a:r>
          <a:r>
            <a:rPr lang="en-US" b="1"/>
            <a:t>pricing-led issue</a:t>
          </a:r>
          <a:r>
            <a:rPr lang="en-US"/>
            <a:t>,</a:t>
          </a:r>
          <a:r>
            <a:rPr lang="en-US" baseline="0"/>
            <a:t> </a:t>
          </a:r>
          <a:r>
            <a:rPr lang="en-US"/>
            <a:t>the effective selling price has been discounted below unit cost. This is immediately correctable through pricing discipline alone.</a:t>
          </a:r>
          <a:endParaRPr lang="en-US" sz="1100" b="1"/>
        </a:p>
      </xdr:txBody>
    </xdr:sp>
    <xdr:clientData/>
  </xdr:twoCellAnchor>
  <xdr:twoCellAnchor>
    <xdr:from>
      <xdr:col>1</xdr:col>
      <xdr:colOff>20873</xdr:colOff>
      <xdr:row>95</xdr:row>
      <xdr:rowOff>40985</xdr:rowOff>
    </xdr:from>
    <xdr:to>
      <xdr:col>10</xdr:col>
      <xdr:colOff>6106</xdr:colOff>
      <xdr:row>99</xdr:row>
      <xdr:rowOff>12966</xdr:rowOff>
    </xdr:to>
    <xdr:sp macro="" textlink="">
      <xdr:nvSpPr>
        <xdr:cNvPr id="13" name="TextBox 12">
          <a:extLst>
            <a:ext uri="{FF2B5EF4-FFF2-40B4-BE49-F238E27FC236}">
              <a16:creationId xmlns:a16="http://schemas.microsoft.com/office/drawing/2014/main" id="{A5BF1549-E271-4AE3-B93D-63B349572738}"/>
            </a:ext>
          </a:extLst>
        </xdr:cNvPr>
        <xdr:cNvSpPr txBox="1"/>
      </xdr:nvSpPr>
      <xdr:spPr>
        <a:xfrm>
          <a:off x="630473" y="20316535"/>
          <a:ext cx="5471633" cy="810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is </a:t>
          </a:r>
          <a:r>
            <a:rPr lang="en-US" b="1"/>
            <a:t>distributed across three customer segments </a:t>
          </a:r>
          <a:r>
            <a:rPr lang="en-US"/>
            <a:t>with no single segment exceeding 55% of total. This diversification </a:t>
          </a:r>
          <a:r>
            <a:rPr lang="en-US" b="1"/>
            <a:t>reduces customer concentration risk </a:t>
          </a:r>
          <a:r>
            <a:rPr lang="en-US"/>
            <a:t>and supports revenue quality,</a:t>
          </a:r>
          <a:r>
            <a:rPr lang="en-US" baseline="0"/>
            <a:t> </a:t>
          </a:r>
          <a:r>
            <a:rPr lang="en-US"/>
            <a:t>a positive signal for acquisition attractiveness. Margins are broadly consistent across segments indicating no significant customer-mix profitability risk.</a:t>
          </a:r>
          <a:endParaRPr lang="en-US" sz="1100" b="1"/>
        </a:p>
      </xdr:txBody>
    </xdr:sp>
    <xdr:clientData/>
  </xdr:twoCellAnchor>
  <xdr:twoCellAnchor>
    <xdr:from>
      <xdr:col>12</xdr:col>
      <xdr:colOff>23010</xdr:colOff>
      <xdr:row>74</xdr:row>
      <xdr:rowOff>133536</xdr:rowOff>
    </xdr:from>
    <xdr:to>
      <xdr:col>21</xdr:col>
      <xdr:colOff>389503</xdr:colOff>
      <xdr:row>95</xdr:row>
      <xdr:rowOff>9415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88046FE-9EE5-4DE3-9264-1D4C2DEBB1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38210" y="16008536"/>
              <a:ext cx="5852893" cy="42764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7551</xdr:colOff>
      <xdr:row>95</xdr:row>
      <xdr:rowOff>45425</xdr:rowOff>
    </xdr:from>
    <xdr:to>
      <xdr:col>9</xdr:col>
      <xdr:colOff>608542</xdr:colOff>
      <xdr:row>99</xdr:row>
      <xdr:rowOff>17406</xdr:rowOff>
    </xdr:to>
    <xdr:sp macro="" textlink="">
      <xdr:nvSpPr>
        <xdr:cNvPr id="15" name="TextBox 14">
          <a:extLst>
            <a:ext uri="{FF2B5EF4-FFF2-40B4-BE49-F238E27FC236}">
              <a16:creationId xmlns:a16="http://schemas.microsoft.com/office/drawing/2014/main" id="{09CD9A42-86A3-4898-882B-9FBA8A88A8E0}"/>
            </a:ext>
          </a:extLst>
        </xdr:cNvPr>
        <xdr:cNvSpPr txBox="1"/>
      </xdr:nvSpPr>
      <xdr:spPr>
        <a:xfrm>
          <a:off x="617151" y="20320975"/>
          <a:ext cx="5477791" cy="810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is </a:t>
          </a:r>
          <a:r>
            <a:rPr lang="en-US" b="1"/>
            <a:t>distributed across three customer segments </a:t>
          </a:r>
          <a:r>
            <a:rPr lang="en-US"/>
            <a:t>with no single segment exceeding 55% of total. This diversification </a:t>
          </a:r>
          <a:r>
            <a:rPr lang="en-US" b="1"/>
            <a:t>reduces customer concentration risk </a:t>
          </a:r>
          <a:r>
            <a:rPr lang="en-US"/>
            <a:t>and supports revenue quality,</a:t>
          </a:r>
          <a:r>
            <a:rPr lang="en-US" baseline="0"/>
            <a:t> </a:t>
          </a:r>
          <a:r>
            <a:rPr lang="en-US"/>
            <a:t>a positive signal for acquisition attractiveness. Margins are broadly consistent across segments indicating no significant customer-mix profitability risk.</a:t>
          </a:r>
          <a:endParaRPr lang="en-US" sz="1100" b="1"/>
        </a:p>
      </xdr:txBody>
    </xdr:sp>
    <xdr:clientData/>
  </xdr:twoCellAnchor>
  <xdr:twoCellAnchor>
    <xdr:from>
      <xdr:col>12</xdr:col>
      <xdr:colOff>23010</xdr:colOff>
      <xdr:row>95</xdr:row>
      <xdr:rowOff>45425</xdr:rowOff>
    </xdr:from>
    <xdr:to>
      <xdr:col>21</xdr:col>
      <xdr:colOff>8243</xdr:colOff>
      <xdr:row>99</xdr:row>
      <xdr:rowOff>17406</xdr:rowOff>
    </xdr:to>
    <xdr:sp macro="" textlink="">
      <xdr:nvSpPr>
        <xdr:cNvPr id="16" name="TextBox 15">
          <a:extLst>
            <a:ext uri="{FF2B5EF4-FFF2-40B4-BE49-F238E27FC236}">
              <a16:creationId xmlns:a16="http://schemas.microsoft.com/office/drawing/2014/main" id="{B1681327-9C64-49AD-AD9B-21E33B2357ED}"/>
            </a:ext>
          </a:extLst>
        </xdr:cNvPr>
        <xdr:cNvSpPr txBox="1"/>
      </xdr:nvSpPr>
      <xdr:spPr>
        <a:xfrm>
          <a:off x="7338210" y="20320975"/>
          <a:ext cx="5471633" cy="8101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Three operationally distinct value creation levers :</a:t>
          </a:r>
          <a:r>
            <a:rPr lang="en-US" baseline="0"/>
            <a:t> </a:t>
          </a:r>
          <a:r>
            <a:rPr lang="en-US" b="1"/>
            <a:t>Tables pricing rationalisation, Office Supplies margin recovery</a:t>
          </a:r>
          <a:r>
            <a:rPr lang="en-US"/>
            <a:t>, and </a:t>
          </a:r>
          <a:r>
            <a:rPr lang="en-US" b="1"/>
            <a:t>Technology acceleration , </a:t>
          </a:r>
          <a:r>
            <a:rPr lang="en-US"/>
            <a:t>represent a combined EBIT improvement of </a:t>
          </a:r>
          <a:r>
            <a:rPr lang="en-US" b="1"/>
            <a:t>$329,119</a:t>
          </a:r>
          <a:r>
            <a:rPr lang="en-US"/>
            <a:t> versus the base case. Each lever is independently evidenced by transactional data analysis and requires </a:t>
          </a:r>
          <a:r>
            <a:rPr lang="en-US" b="1"/>
            <a:t>no capital expenditure to initiate.</a:t>
          </a:r>
          <a:endParaRPr lang="en-US" sz="1100" b="1"/>
        </a:p>
      </xdr:txBody>
    </xdr:sp>
    <xdr:clientData/>
  </xdr:twoCellAnchor>
  <xdr:twoCellAnchor>
    <xdr:from>
      <xdr:col>12</xdr:col>
      <xdr:colOff>147520</xdr:colOff>
      <xdr:row>20</xdr:row>
      <xdr:rowOff>125873</xdr:rowOff>
    </xdr:from>
    <xdr:to>
      <xdr:col>22</xdr:col>
      <xdr:colOff>31014</xdr:colOff>
      <xdr:row>41</xdr:row>
      <xdr:rowOff>905</xdr:rowOff>
    </xdr:to>
    <xdr:graphicFrame macro="">
      <xdr:nvGraphicFramePr>
        <xdr:cNvPr id="17" name="Chart 16">
          <a:extLst>
            <a:ext uri="{FF2B5EF4-FFF2-40B4-BE49-F238E27FC236}">
              <a16:creationId xmlns:a16="http://schemas.microsoft.com/office/drawing/2014/main" id="{48C7EABB-01F8-40F2-BD0A-077DAEE78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23010</xdr:colOff>
      <xdr:row>46</xdr:row>
      <xdr:rowOff>128814</xdr:rowOff>
    </xdr:from>
    <xdr:to>
      <xdr:col>21</xdr:col>
      <xdr:colOff>484652</xdr:colOff>
      <xdr:row>67</xdr:row>
      <xdr:rowOff>77222</xdr:rowOff>
    </xdr:to>
    <xdr:graphicFrame macro="">
      <xdr:nvGraphicFramePr>
        <xdr:cNvPr id="18" name="Chart 17">
          <a:extLst>
            <a:ext uri="{FF2B5EF4-FFF2-40B4-BE49-F238E27FC236}">
              <a16:creationId xmlns:a16="http://schemas.microsoft.com/office/drawing/2014/main" id="{D6533724-7C44-4C88-A08C-EBACBA7E7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6</xdr:row>
      <xdr:rowOff>0</xdr:rowOff>
    </xdr:from>
    <xdr:to>
      <xdr:col>5</xdr:col>
      <xdr:colOff>1</xdr:colOff>
      <xdr:row>9</xdr:row>
      <xdr:rowOff>0</xdr:rowOff>
    </xdr:to>
    <xdr:sp macro="" textlink="">
      <xdr:nvSpPr>
        <xdr:cNvPr id="19" name="TextBox 18">
          <a:extLst>
            <a:ext uri="{FF2B5EF4-FFF2-40B4-BE49-F238E27FC236}">
              <a16:creationId xmlns:a16="http://schemas.microsoft.com/office/drawing/2014/main" id="{6E46206C-CBCA-450B-9623-1B598926EF6C}"/>
            </a:ext>
          </a:extLst>
        </xdr:cNvPr>
        <xdr:cNvSpPr txBox="1"/>
      </xdr:nvSpPr>
      <xdr:spPr>
        <a:xfrm>
          <a:off x="609600" y="1568450"/>
          <a:ext cx="2438401" cy="628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rPr>
            <a:t>2014</a:t>
          </a:r>
          <a:r>
            <a:rPr lang="en-US" sz="1400" b="1" baseline="0">
              <a:solidFill>
                <a:srgbClr val="1F4E3D"/>
              </a:solidFill>
              <a:latin typeface="Open Sans" panose="020B0606030504020204" pitchFamily="34" charset="0"/>
              <a:ea typeface="Open Sans" panose="020B0606030504020204" pitchFamily="34" charset="0"/>
              <a:cs typeface="Open Sans" panose="020B0606030504020204" pitchFamily="34" charset="0"/>
            </a:rPr>
            <a:t> Revenue</a:t>
          </a:r>
          <a:endPar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0</xdr:col>
      <xdr:colOff>605842</xdr:colOff>
      <xdr:row>9</xdr:row>
      <xdr:rowOff>0</xdr:rowOff>
    </xdr:from>
    <xdr:to>
      <xdr:col>4</xdr:col>
      <xdr:colOff>605841</xdr:colOff>
      <xdr:row>11</xdr:row>
      <xdr:rowOff>0</xdr:rowOff>
    </xdr:to>
    <xdr:sp macro="" textlink="$Y$76">
      <xdr:nvSpPr>
        <xdr:cNvPr id="20" name="TextBox 19">
          <a:extLst>
            <a:ext uri="{FF2B5EF4-FFF2-40B4-BE49-F238E27FC236}">
              <a16:creationId xmlns:a16="http://schemas.microsoft.com/office/drawing/2014/main" id="{AFC603D4-FD30-4947-8560-1A10A64BC4B0}"/>
            </a:ext>
          </a:extLst>
        </xdr:cNvPr>
        <xdr:cNvSpPr txBox="1"/>
      </xdr:nvSpPr>
      <xdr:spPr>
        <a:xfrm>
          <a:off x="605842" y="2197100"/>
          <a:ext cx="2438399"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9C9B69-D7F8-476B-AA2D-A8A37BEB302E}" type="TxLink">
            <a:rPr lang="en-US" sz="2000" b="1" i="0" u="none" strike="noStrike">
              <a:solidFill>
                <a:srgbClr val="1F4E3D"/>
              </a:solidFill>
              <a:latin typeface="Open Sans"/>
              <a:ea typeface="Open Sans"/>
              <a:cs typeface="Open Sans"/>
            </a:rPr>
            <a:pPr algn="ctr"/>
            <a:t>$4.3M</a:t>
          </a:fld>
          <a:endParaRPr lang="en-US" sz="2000" b="1">
            <a:solidFill>
              <a:srgbClr val="1F4E3D"/>
            </a:solidFill>
          </a:endParaRPr>
        </a:p>
      </xdr:txBody>
    </xdr:sp>
    <xdr:clientData/>
  </xdr:twoCellAnchor>
  <xdr:twoCellAnchor>
    <xdr:from>
      <xdr:col>1</xdr:col>
      <xdr:colOff>0</xdr:colOff>
      <xdr:row>11</xdr:row>
      <xdr:rowOff>0</xdr:rowOff>
    </xdr:from>
    <xdr:to>
      <xdr:col>5</xdr:col>
      <xdr:colOff>0</xdr:colOff>
      <xdr:row>13</xdr:row>
      <xdr:rowOff>1</xdr:rowOff>
    </xdr:to>
    <xdr:sp macro="" textlink="">
      <xdr:nvSpPr>
        <xdr:cNvPr id="21" name="TextBox 20">
          <a:extLst>
            <a:ext uri="{FF2B5EF4-FFF2-40B4-BE49-F238E27FC236}">
              <a16:creationId xmlns:a16="http://schemas.microsoft.com/office/drawing/2014/main" id="{930FB10E-4393-4C33-8CF3-AD8CBF99BBBC}"/>
            </a:ext>
          </a:extLst>
        </xdr:cNvPr>
        <xdr:cNvSpPr txBox="1"/>
      </xdr:nvSpPr>
      <xdr:spPr>
        <a:xfrm>
          <a:off x="609600" y="2616200"/>
          <a:ext cx="2438400" cy="419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1F4E3D"/>
              </a:solidFill>
              <a:latin typeface="Open Sans" panose="020B0606030504020204" pitchFamily="34" charset="0"/>
              <a:ea typeface="Open Sans" panose="020B0606030504020204" pitchFamily="34" charset="0"/>
              <a:cs typeface="Open Sans" panose="020B0606030504020204" pitchFamily="34" charset="0"/>
            </a:rPr>
            <a:t>+26%</a:t>
          </a:r>
        </a:p>
      </xdr:txBody>
    </xdr:sp>
    <xdr:clientData/>
  </xdr:twoCellAnchor>
  <xdr:twoCellAnchor>
    <xdr:from>
      <xdr:col>6</xdr:col>
      <xdr:colOff>1021</xdr:colOff>
      <xdr:row>6</xdr:row>
      <xdr:rowOff>5720</xdr:rowOff>
    </xdr:from>
    <xdr:to>
      <xdr:col>10</xdr:col>
      <xdr:colOff>1023</xdr:colOff>
      <xdr:row>9</xdr:row>
      <xdr:rowOff>5720</xdr:rowOff>
    </xdr:to>
    <xdr:sp macro="" textlink="">
      <xdr:nvSpPr>
        <xdr:cNvPr id="22" name="TextBox 21">
          <a:extLst>
            <a:ext uri="{FF2B5EF4-FFF2-40B4-BE49-F238E27FC236}">
              <a16:creationId xmlns:a16="http://schemas.microsoft.com/office/drawing/2014/main" id="{0FF229DE-C0A7-47F8-801B-871093BD90F5}"/>
            </a:ext>
          </a:extLst>
        </xdr:cNvPr>
        <xdr:cNvSpPr txBox="1"/>
      </xdr:nvSpPr>
      <xdr:spPr>
        <a:xfrm>
          <a:off x="3658621" y="1574170"/>
          <a:ext cx="2438402"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Open Sans" panose="020B0606030504020204" pitchFamily="34" charset="0"/>
              <a:ea typeface="Open Sans" panose="020B0606030504020204" pitchFamily="34" charset="0"/>
              <a:cs typeface="Open Sans" panose="020B0606030504020204" pitchFamily="34" charset="0"/>
            </a:rPr>
            <a:t>OC Margin</a:t>
          </a:r>
        </a:p>
      </xdr:txBody>
    </xdr:sp>
    <xdr:clientData/>
  </xdr:twoCellAnchor>
  <xdr:twoCellAnchor>
    <xdr:from>
      <xdr:col>5</xdr:col>
      <xdr:colOff>605843</xdr:colOff>
      <xdr:row>8</xdr:row>
      <xdr:rowOff>211666</xdr:rowOff>
    </xdr:from>
    <xdr:to>
      <xdr:col>9</xdr:col>
      <xdr:colOff>605842</xdr:colOff>
      <xdr:row>10</xdr:row>
      <xdr:rowOff>211665</xdr:rowOff>
    </xdr:to>
    <xdr:sp macro="" textlink="$Y$78">
      <xdr:nvSpPr>
        <xdr:cNvPr id="23" name="TextBox 22">
          <a:extLst>
            <a:ext uri="{FF2B5EF4-FFF2-40B4-BE49-F238E27FC236}">
              <a16:creationId xmlns:a16="http://schemas.microsoft.com/office/drawing/2014/main" id="{9DED5F5E-3C82-4185-9EBC-03F5F2477834}"/>
            </a:ext>
          </a:extLst>
        </xdr:cNvPr>
        <xdr:cNvSpPr txBox="1"/>
      </xdr:nvSpPr>
      <xdr:spPr>
        <a:xfrm>
          <a:off x="3653843" y="2199216"/>
          <a:ext cx="2438399"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latin typeface="Open Sans"/>
              <a:ea typeface="Open Sans"/>
              <a:cs typeface="Open Sans"/>
            </a:rPr>
            <a:t>11.7%</a:t>
          </a:r>
          <a:endParaRPr lang="en-US" sz="2000" b="1" i="0">
            <a:solidFill>
              <a:schemeClr val="bg1"/>
            </a:solidFill>
          </a:endParaRPr>
        </a:p>
      </xdr:txBody>
    </xdr:sp>
    <xdr:clientData/>
  </xdr:twoCellAnchor>
  <xdr:twoCellAnchor>
    <xdr:from>
      <xdr:col>6</xdr:col>
      <xdr:colOff>0</xdr:colOff>
      <xdr:row>10</xdr:row>
      <xdr:rowOff>211665</xdr:rowOff>
    </xdr:from>
    <xdr:to>
      <xdr:col>10</xdr:col>
      <xdr:colOff>1</xdr:colOff>
      <xdr:row>13</xdr:row>
      <xdr:rowOff>0</xdr:rowOff>
    </xdr:to>
    <xdr:sp macro="" textlink="">
      <xdr:nvSpPr>
        <xdr:cNvPr id="24" name="TextBox 23">
          <a:extLst>
            <a:ext uri="{FF2B5EF4-FFF2-40B4-BE49-F238E27FC236}">
              <a16:creationId xmlns:a16="http://schemas.microsoft.com/office/drawing/2014/main" id="{885CA2BD-8FD9-4AD4-9732-4BB53BF4E0BA}"/>
            </a:ext>
          </a:extLst>
        </xdr:cNvPr>
        <xdr:cNvSpPr txBox="1"/>
      </xdr:nvSpPr>
      <xdr:spPr>
        <a:xfrm>
          <a:off x="3657600" y="2618315"/>
          <a:ext cx="2438401" cy="41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chemeClr val="bg1"/>
              </a:solidFill>
              <a:latin typeface="Open Sans" panose="020B0606030504020204" pitchFamily="34" charset="0"/>
              <a:ea typeface="Open Sans" panose="020B0606030504020204" pitchFamily="34" charset="0"/>
              <a:cs typeface="Open Sans" panose="020B0606030504020204" pitchFamily="34" charset="0"/>
            </a:rPr>
            <a:t>Stable 2011-14</a:t>
          </a:r>
        </a:p>
      </xdr:txBody>
    </xdr:sp>
    <xdr:clientData/>
  </xdr:twoCellAnchor>
  <xdr:twoCellAnchor>
    <xdr:from>
      <xdr:col>11</xdr:col>
      <xdr:colOff>2044</xdr:colOff>
      <xdr:row>6</xdr:row>
      <xdr:rowOff>0</xdr:rowOff>
    </xdr:from>
    <xdr:to>
      <xdr:col>14</xdr:col>
      <xdr:colOff>608236</xdr:colOff>
      <xdr:row>9</xdr:row>
      <xdr:rowOff>0</xdr:rowOff>
    </xdr:to>
    <xdr:sp macro="" textlink="">
      <xdr:nvSpPr>
        <xdr:cNvPr id="25" name="TextBox 24">
          <a:extLst>
            <a:ext uri="{FF2B5EF4-FFF2-40B4-BE49-F238E27FC236}">
              <a16:creationId xmlns:a16="http://schemas.microsoft.com/office/drawing/2014/main" id="{8CE4CBEC-D745-4FA3-8934-33D9AEA52B31}"/>
            </a:ext>
          </a:extLst>
        </xdr:cNvPr>
        <xdr:cNvSpPr txBox="1"/>
      </xdr:nvSpPr>
      <xdr:spPr>
        <a:xfrm>
          <a:off x="6707644" y="1568450"/>
          <a:ext cx="2434992" cy="628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rPr>
            <a:t>Revenue</a:t>
          </a:r>
          <a:r>
            <a:rPr lang="en-US" sz="1400" b="1" baseline="0">
              <a:solidFill>
                <a:srgbClr val="1F4E3D"/>
              </a:solidFill>
              <a:latin typeface="Open Sans" panose="020B0606030504020204" pitchFamily="34" charset="0"/>
              <a:ea typeface="Open Sans" panose="020B0606030504020204" pitchFamily="34" charset="0"/>
              <a:cs typeface="Open Sans" panose="020B0606030504020204" pitchFamily="34" charset="0"/>
            </a:rPr>
            <a:t> CAGR</a:t>
          </a:r>
          <a:endPar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10</xdr:col>
      <xdr:colOff>605841</xdr:colOff>
      <xdr:row>9</xdr:row>
      <xdr:rowOff>0</xdr:rowOff>
    </xdr:from>
    <xdr:to>
      <xdr:col>14</xdr:col>
      <xdr:colOff>605840</xdr:colOff>
      <xdr:row>11</xdr:row>
      <xdr:rowOff>0</xdr:rowOff>
    </xdr:to>
    <xdr:sp macro="" textlink="">
      <xdr:nvSpPr>
        <xdr:cNvPr id="26" name="TextBox 25">
          <a:extLst>
            <a:ext uri="{FF2B5EF4-FFF2-40B4-BE49-F238E27FC236}">
              <a16:creationId xmlns:a16="http://schemas.microsoft.com/office/drawing/2014/main" id="{CDB65B56-B1B3-48C8-818B-16A622410527}"/>
            </a:ext>
          </a:extLst>
        </xdr:cNvPr>
        <xdr:cNvSpPr txBox="1"/>
      </xdr:nvSpPr>
      <xdr:spPr>
        <a:xfrm>
          <a:off x="6701841" y="2197100"/>
          <a:ext cx="2438399"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1F4E3D"/>
              </a:solidFill>
              <a:latin typeface="Open Sans"/>
              <a:ea typeface="Open Sans"/>
              <a:cs typeface="Open Sans"/>
            </a:rPr>
            <a:t>24%</a:t>
          </a:r>
        </a:p>
      </xdr:txBody>
    </xdr:sp>
    <xdr:clientData/>
  </xdr:twoCellAnchor>
  <xdr:twoCellAnchor>
    <xdr:from>
      <xdr:col>10</xdr:col>
      <xdr:colOff>612320</xdr:colOff>
      <xdr:row>11</xdr:row>
      <xdr:rowOff>0</xdr:rowOff>
    </xdr:from>
    <xdr:to>
      <xdr:col>14</xdr:col>
      <xdr:colOff>612320</xdr:colOff>
      <xdr:row>13</xdr:row>
      <xdr:rowOff>1</xdr:rowOff>
    </xdr:to>
    <xdr:sp macro="" textlink="">
      <xdr:nvSpPr>
        <xdr:cNvPr id="27" name="TextBox 26">
          <a:extLst>
            <a:ext uri="{FF2B5EF4-FFF2-40B4-BE49-F238E27FC236}">
              <a16:creationId xmlns:a16="http://schemas.microsoft.com/office/drawing/2014/main" id="{F5106E3D-1F1A-4243-BA20-E8A640CC9F01}"/>
            </a:ext>
          </a:extLst>
        </xdr:cNvPr>
        <xdr:cNvSpPr txBox="1"/>
      </xdr:nvSpPr>
      <xdr:spPr>
        <a:xfrm>
          <a:off x="6708320" y="2616200"/>
          <a:ext cx="2438400" cy="419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1F4E3D"/>
              </a:solidFill>
              <a:latin typeface="Open Sans" panose="020B0606030504020204" pitchFamily="34" charset="0"/>
              <a:ea typeface="Open Sans" panose="020B0606030504020204" pitchFamily="34" charset="0"/>
              <a:cs typeface="Open Sans" panose="020B0606030504020204" pitchFamily="34" charset="0"/>
            </a:rPr>
            <a:t>3-year compound</a:t>
          </a:r>
        </a:p>
      </xdr:txBody>
    </xdr:sp>
    <xdr:clientData/>
  </xdr:twoCellAnchor>
  <xdr:twoCellAnchor>
    <xdr:from>
      <xdr:col>15</xdr:col>
      <xdr:colOff>598865</xdr:colOff>
      <xdr:row>6</xdr:row>
      <xdr:rowOff>1632</xdr:rowOff>
    </xdr:from>
    <xdr:to>
      <xdr:col>19</xdr:col>
      <xdr:colOff>598866</xdr:colOff>
      <xdr:row>9</xdr:row>
      <xdr:rowOff>0</xdr:rowOff>
    </xdr:to>
    <xdr:sp macro="" textlink="">
      <xdr:nvSpPr>
        <xdr:cNvPr id="28" name="TextBox 27">
          <a:extLst>
            <a:ext uri="{FF2B5EF4-FFF2-40B4-BE49-F238E27FC236}">
              <a16:creationId xmlns:a16="http://schemas.microsoft.com/office/drawing/2014/main" id="{A50A16CA-85EE-43D7-9C7E-D24C46BF5BAB}"/>
            </a:ext>
          </a:extLst>
        </xdr:cNvPr>
        <xdr:cNvSpPr txBox="1"/>
      </xdr:nvSpPr>
      <xdr:spPr>
        <a:xfrm>
          <a:off x="9742865" y="1570082"/>
          <a:ext cx="2438401" cy="627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Open Sans" panose="020B0606030504020204" pitchFamily="34" charset="0"/>
              <a:ea typeface="Open Sans" panose="020B0606030504020204" pitchFamily="34" charset="0"/>
              <a:cs typeface="Open Sans" panose="020B0606030504020204" pitchFamily="34" charset="0"/>
            </a:rPr>
            <a:t>Base EBIT</a:t>
          </a:r>
          <a:r>
            <a:rPr lang="en-US" sz="1400" b="1" baseline="0">
              <a:solidFill>
                <a:schemeClr val="bg1"/>
              </a:solidFill>
              <a:latin typeface="Open Sans" panose="020B0606030504020204" pitchFamily="34" charset="0"/>
              <a:ea typeface="Open Sans" panose="020B0606030504020204" pitchFamily="34" charset="0"/>
              <a:cs typeface="Open Sans" panose="020B0606030504020204" pitchFamily="34" charset="0"/>
            </a:rPr>
            <a:t> 2015F</a:t>
          </a:r>
          <a:endParaRPr lang="en-US" sz="1400" b="1">
            <a:solidFill>
              <a:schemeClr val="bg1"/>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15</xdr:col>
      <xdr:colOff>598865</xdr:colOff>
      <xdr:row>9</xdr:row>
      <xdr:rowOff>0</xdr:rowOff>
    </xdr:from>
    <xdr:to>
      <xdr:col>19</xdr:col>
      <xdr:colOff>598864</xdr:colOff>
      <xdr:row>11</xdr:row>
      <xdr:rowOff>0</xdr:rowOff>
    </xdr:to>
    <xdr:sp macro="" textlink="$Y$78">
      <xdr:nvSpPr>
        <xdr:cNvPr id="29" name="TextBox 28">
          <a:extLst>
            <a:ext uri="{FF2B5EF4-FFF2-40B4-BE49-F238E27FC236}">
              <a16:creationId xmlns:a16="http://schemas.microsoft.com/office/drawing/2014/main" id="{B8991D51-114C-4B9D-AD08-A636FE800117}"/>
            </a:ext>
          </a:extLst>
        </xdr:cNvPr>
        <xdr:cNvSpPr txBox="1"/>
      </xdr:nvSpPr>
      <xdr:spPr>
        <a:xfrm>
          <a:off x="9742865" y="2197100"/>
          <a:ext cx="2438399"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latin typeface="Open Sans"/>
              <a:ea typeface="Open Sans"/>
              <a:cs typeface="Open Sans"/>
            </a:rPr>
            <a:t>$374,000</a:t>
          </a:r>
          <a:endParaRPr lang="en-US" sz="2000" b="1" i="0">
            <a:solidFill>
              <a:schemeClr val="bg1"/>
            </a:solidFill>
          </a:endParaRPr>
        </a:p>
      </xdr:txBody>
    </xdr:sp>
    <xdr:clientData/>
  </xdr:twoCellAnchor>
  <xdr:twoCellAnchor>
    <xdr:from>
      <xdr:col>15</xdr:col>
      <xdr:colOff>598865</xdr:colOff>
      <xdr:row>11</xdr:row>
      <xdr:rowOff>0</xdr:rowOff>
    </xdr:from>
    <xdr:to>
      <xdr:col>19</xdr:col>
      <xdr:colOff>598864</xdr:colOff>
      <xdr:row>13</xdr:row>
      <xdr:rowOff>1</xdr:rowOff>
    </xdr:to>
    <xdr:sp macro="" textlink="">
      <xdr:nvSpPr>
        <xdr:cNvPr id="30" name="TextBox 29">
          <a:extLst>
            <a:ext uri="{FF2B5EF4-FFF2-40B4-BE49-F238E27FC236}">
              <a16:creationId xmlns:a16="http://schemas.microsoft.com/office/drawing/2014/main" id="{D31E575D-64B9-4220-8608-D17E8365A3AA}"/>
            </a:ext>
          </a:extLst>
        </xdr:cNvPr>
        <xdr:cNvSpPr txBox="1"/>
      </xdr:nvSpPr>
      <xdr:spPr>
        <a:xfrm>
          <a:off x="9742865" y="2616200"/>
          <a:ext cx="2438399"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chemeClr val="bg1"/>
              </a:solidFill>
              <a:latin typeface="Open Sans" panose="020B0606030504020204" pitchFamily="34" charset="0"/>
              <a:ea typeface="Open Sans" panose="020B0606030504020204" pitchFamily="34" charset="0"/>
              <a:cs typeface="Open Sans" panose="020B0606030504020204" pitchFamily="34" charset="0"/>
            </a:rPr>
            <a:t>Illustrative</a:t>
          </a:r>
        </a:p>
      </xdr:txBody>
    </xdr:sp>
    <xdr:clientData/>
  </xdr:twoCellAnchor>
  <xdr:twoCellAnchor>
    <xdr:from>
      <xdr:col>1</xdr:col>
      <xdr:colOff>29535</xdr:colOff>
      <xdr:row>5</xdr:row>
      <xdr:rowOff>187053</xdr:rowOff>
    </xdr:from>
    <xdr:to>
      <xdr:col>4</xdr:col>
      <xdr:colOff>608246</xdr:colOff>
      <xdr:row>13</xdr:row>
      <xdr:rowOff>4842</xdr:rowOff>
    </xdr:to>
    <xdr:sp macro="" textlink="">
      <xdr:nvSpPr>
        <xdr:cNvPr id="31" name="Rectangle 30">
          <a:extLst>
            <a:ext uri="{FF2B5EF4-FFF2-40B4-BE49-F238E27FC236}">
              <a16:creationId xmlns:a16="http://schemas.microsoft.com/office/drawing/2014/main" id="{12FDC1D3-CC41-42B3-904E-4F06FFDE7764}"/>
            </a:ext>
          </a:extLst>
        </xdr:cNvPr>
        <xdr:cNvSpPr/>
      </xdr:nvSpPr>
      <xdr:spPr>
        <a:xfrm>
          <a:off x="639135" y="1545953"/>
          <a:ext cx="2407511" cy="1494189"/>
        </a:xfrm>
        <a:prstGeom prst="rect">
          <a:avLst/>
        </a:prstGeom>
        <a:noFill/>
        <a:ln>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6</xdr:row>
      <xdr:rowOff>0</xdr:rowOff>
    </xdr:from>
    <xdr:to>
      <xdr:col>14</xdr:col>
      <xdr:colOff>578711</xdr:colOff>
      <xdr:row>13</xdr:row>
      <xdr:rowOff>26874</xdr:rowOff>
    </xdr:to>
    <xdr:sp macro="" textlink="">
      <xdr:nvSpPr>
        <xdr:cNvPr id="32" name="Rectangle 31">
          <a:extLst>
            <a:ext uri="{FF2B5EF4-FFF2-40B4-BE49-F238E27FC236}">
              <a16:creationId xmlns:a16="http://schemas.microsoft.com/office/drawing/2014/main" id="{2900E821-6EE7-4D2C-90FB-7F4926FB4137}"/>
            </a:ext>
          </a:extLst>
        </xdr:cNvPr>
        <xdr:cNvSpPr/>
      </xdr:nvSpPr>
      <xdr:spPr>
        <a:xfrm>
          <a:off x="6705600" y="1568450"/>
          <a:ext cx="2407511" cy="1493724"/>
        </a:xfrm>
        <a:prstGeom prst="rect">
          <a:avLst/>
        </a:prstGeom>
        <a:noFill/>
        <a:ln>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x`z`</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0.40127</cdr:x>
      <cdr:y>0.01598</cdr:y>
    </cdr:from>
    <cdr:to>
      <cdr:x>0.40201</cdr:x>
      <cdr:y>0.93264</cdr:y>
    </cdr:to>
    <cdr:cxnSp macro="">
      <cdr:nvCxnSpPr>
        <cdr:cNvPr id="3" name="Straight Connector 2">
          <a:extLst xmlns:a="http://schemas.openxmlformats.org/drawingml/2006/main">
            <a:ext uri="{FF2B5EF4-FFF2-40B4-BE49-F238E27FC236}">
              <a16:creationId xmlns:a16="http://schemas.microsoft.com/office/drawing/2014/main" id="{0A36473D-4988-9E3D-4360-F61E9053357E}"/>
            </a:ext>
          </a:extLst>
        </cdr:cNvPr>
        <cdr:cNvCxnSpPr/>
      </cdr:nvCxnSpPr>
      <cdr:spPr>
        <a:xfrm xmlns:a="http://schemas.openxmlformats.org/drawingml/2006/main">
          <a:off x="2370288" y="66359"/>
          <a:ext cx="4406" cy="3805386"/>
        </a:xfrm>
        <a:prstGeom xmlns:a="http://schemas.openxmlformats.org/drawingml/2006/main" prst="line">
          <a:avLst/>
        </a:prstGeom>
        <a:ln xmlns:a="http://schemas.openxmlformats.org/drawingml/2006/main">
          <a:solidFill>
            <a:schemeClr val="bg1">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0.4333</cdr:x>
      <cdr:y>0</cdr:y>
    </cdr:from>
    <cdr:to>
      <cdr:x>0.87152</cdr:x>
      <cdr:y>0.19315</cdr:y>
    </cdr:to>
    <cdr:sp macro="" textlink="">
      <cdr:nvSpPr>
        <cdr:cNvPr id="2" name="TextBox 1">
          <a:extLst xmlns:a="http://schemas.openxmlformats.org/drawingml/2006/main">
            <a:ext uri="{FF2B5EF4-FFF2-40B4-BE49-F238E27FC236}">
              <a16:creationId xmlns:a16="http://schemas.microsoft.com/office/drawing/2014/main" id="{3C4AC9CF-C008-F407-E1AC-D661D2C761A7}"/>
            </a:ext>
          </a:extLst>
        </cdr:cNvPr>
        <cdr:cNvSpPr txBox="1"/>
      </cdr:nvSpPr>
      <cdr:spPr>
        <a:xfrm xmlns:a="http://schemas.openxmlformats.org/drawingml/2006/main">
          <a:off x="2579245" y="0"/>
          <a:ext cx="2608481" cy="84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i="1">
              <a:latin typeface="Open Sans" panose="020B0606030504020204" pitchFamily="34" charset="0"/>
              <a:ea typeface="Open Sans" panose="020B0606030504020204" pitchFamily="34" charset="0"/>
              <a:cs typeface="Open Sans" panose="020B0606030504020204" pitchFamily="34" charset="0"/>
            </a:rPr>
            <a:t>Margin Bands:</a:t>
          </a:r>
          <a:br>
            <a:rPr lang="en-US" sz="900" i="1">
              <a:latin typeface="Open Sans" panose="020B0606030504020204" pitchFamily="34" charset="0"/>
              <a:ea typeface="Open Sans" panose="020B0606030504020204" pitchFamily="34" charset="0"/>
              <a:cs typeface="Open Sans" panose="020B0606030504020204" pitchFamily="34" charset="0"/>
            </a:rPr>
          </a:br>
          <a:r>
            <a:rPr lang="en-US" sz="900" i="1">
              <a:latin typeface="Open Sans" panose="020B0606030504020204" pitchFamily="34" charset="0"/>
              <a:ea typeface="Open Sans" panose="020B0606030504020204" pitchFamily="34" charset="0"/>
              <a:cs typeface="Open Sans" panose="020B0606030504020204" pitchFamily="34" charset="0"/>
            </a:rPr>
            <a:t> =Underperforming</a:t>
          </a:r>
          <a:br>
            <a:rPr lang="en-US" sz="900" i="1">
              <a:latin typeface="Open Sans" panose="020B0606030504020204" pitchFamily="34" charset="0"/>
              <a:ea typeface="Open Sans" panose="020B0606030504020204" pitchFamily="34" charset="0"/>
              <a:cs typeface="Open Sans" panose="020B0606030504020204" pitchFamily="34" charset="0"/>
            </a:rPr>
          </a:br>
          <a:r>
            <a:rPr lang="en-US" sz="900" i="1" baseline="0">
              <a:latin typeface="Open Sans" panose="020B0606030504020204" pitchFamily="34" charset="0"/>
              <a:ea typeface="Open Sans" panose="020B0606030504020204" pitchFamily="34" charset="0"/>
              <a:cs typeface="Open Sans" panose="020B0606030504020204" pitchFamily="34" charset="0"/>
            </a:rPr>
            <a:t> =In-Line</a:t>
          </a:r>
          <a:br>
            <a:rPr lang="en-US" sz="900" i="1">
              <a:latin typeface="Open Sans" panose="020B0606030504020204" pitchFamily="34" charset="0"/>
              <a:ea typeface="Open Sans" panose="020B0606030504020204" pitchFamily="34" charset="0"/>
              <a:cs typeface="Open Sans" panose="020B0606030504020204" pitchFamily="34" charset="0"/>
            </a:rPr>
          </a:br>
          <a:r>
            <a:rPr lang="en-US" sz="900" i="1" baseline="0">
              <a:latin typeface="Open Sans" panose="020B0606030504020204" pitchFamily="34" charset="0"/>
              <a:ea typeface="Open Sans" panose="020B0606030504020204" pitchFamily="34" charset="0"/>
              <a:cs typeface="Open Sans" panose="020B0606030504020204" pitchFamily="34" charset="0"/>
            </a:rPr>
            <a:t> =Above Target</a:t>
          </a:r>
          <a:endParaRPr lang="en-US" sz="900" i="1" kern="1200">
            <a:latin typeface="Open Sans" panose="020B0606030504020204" pitchFamily="34" charset="0"/>
            <a:ea typeface="Open Sans" panose="020B0606030504020204" pitchFamily="34" charset="0"/>
            <a:cs typeface="Open Sans" panose="020B0606030504020204" pitchFamily="34" charset="0"/>
          </a:endParaRPr>
        </a:p>
      </cdr:txBody>
    </cdr:sp>
  </cdr:relSizeAnchor>
  <cdr:relSizeAnchor xmlns:cdr="http://schemas.openxmlformats.org/drawingml/2006/chartDrawing">
    <cdr:from>
      <cdr:x>0.42181</cdr:x>
      <cdr:y>0.05037</cdr:y>
    </cdr:from>
    <cdr:to>
      <cdr:x>0.44486</cdr:x>
      <cdr:y>0.08201</cdr:y>
    </cdr:to>
    <cdr:sp macro="" textlink="">
      <cdr:nvSpPr>
        <cdr:cNvPr id="3" name="Rectangle 2">
          <a:extLst xmlns:a="http://schemas.openxmlformats.org/drawingml/2006/main">
            <a:ext uri="{FF2B5EF4-FFF2-40B4-BE49-F238E27FC236}">
              <a16:creationId xmlns:a16="http://schemas.microsoft.com/office/drawing/2014/main" id="{5C8D9394-9EA9-0E2D-91A4-97DF5D5CA54D}"/>
            </a:ext>
          </a:extLst>
        </cdr:cNvPr>
        <cdr:cNvSpPr/>
      </cdr:nvSpPr>
      <cdr:spPr>
        <a:xfrm xmlns:a="http://schemas.openxmlformats.org/drawingml/2006/main">
          <a:off x="2508290" y="218295"/>
          <a:ext cx="137055" cy="137123"/>
        </a:xfrm>
        <a:prstGeom xmlns:a="http://schemas.openxmlformats.org/drawingml/2006/main" prst="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0.42181</cdr:x>
      <cdr:y>0.09349</cdr:y>
    </cdr:from>
    <cdr:to>
      <cdr:x>0.44486</cdr:x>
      <cdr:y>0.12513</cdr:y>
    </cdr:to>
    <cdr:sp macro="" textlink="">
      <cdr:nvSpPr>
        <cdr:cNvPr id="4" name="Rectangle 3">
          <a:extLst xmlns:a="http://schemas.openxmlformats.org/drawingml/2006/main">
            <a:ext uri="{FF2B5EF4-FFF2-40B4-BE49-F238E27FC236}">
              <a16:creationId xmlns:a16="http://schemas.microsoft.com/office/drawing/2014/main" id="{AEC96922-9450-8ABA-F261-6135579B6FE3}"/>
            </a:ext>
          </a:extLst>
        </cdr:cNvPr>
        <cdr:cNvSpPr/>
      </cdr:nvSpPr>
      <cdr:spPr>
        <a:xfrm xmlns:a="http://schemas.openxmlformats.org/drawingml/2006/main">
          <a:off x="2508290" y="405168"/>
          <a:ext cx="137055" cy="137123"/>
        </a:xfrm>
        <a:prstGeom xmlns:a="http://schemas.openxmlformats.org/drawingml/2006/main" prst="rect">
          <a:avLst/>
        </a:prstGeom>
        <a:solidFill xmlns:a="http://schemas.openxmlformats.org/drawingml/2006/main">
          <a:schemeClr val="accent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0.42181</cdr:x>
      <cdr:y>0.13661</cdr:y>
    </cdr:from>
    <cdr:to>
      <cdr:x>0.44486</cdr:x>
      <cdr:y>0.16825</cdr:y>
    </cdr:to>
    <cdr:sp macro="" textlink="">
      <cdr:nvSpPr>
        <cdr:cNvPr id="5" name="Rectangle 4">
          <a:extLst xmlns:a="http://schemas.openxmlformats.org/drawingml/2006/main">
            <a:ext uri="{FF2B5EF4-FFF2-40B4-BE49-F238E27FC236}">
              <a16:creationId xmlns:a16="http://schemas.microsoft.com/office/drawing/2014/main" id="{760CE2D0-351F-540F-8EA2-2B2C698A0638}"/>
            </a:ext>
          </a:extLst>
        </cdr:cNvPr>
        <cdr:cNvSpPr/>
      </cdr:nvSpPr>
      <cdr:spPr>
        <a:xfrm xmlns:a="http://schemas.openxmlformats.org/drawingml/2006/main">
          <a:off x="2508290" y="592042"/>
          <a:ext cx="137055" cy="137123"/>
        </a:xfrm>
        <a:prstGeom xmlns:a="http://schemas.openxmlformats.org/drawingml/2006/main" prst="rect">
          <a:avLst/>
        </a:prstGeom>
        <a:solidFill xmlns:a="http://schemas.openxmlformats.org/drawingml/2006/main">
          <a:schemeClr val="accent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6.xml><?xml version="1.0" encoding="utf-8"?>
<xdr:wsDr xmlns:xdr="http://schemas.openxmlformats.org/drawingml/2006/spreadsheetDrawing" xmlns:a="http://schemas.openxmlformats.org/drawingml/2006/main">
  <xdr:twoCellAnchor>
    <xdr:from>
      <xdr:col>6</xdr:col>
      <xdr:colOff>0</xdr:colOff>
      <xdr:row>6</xdr:row>
      <xdr:rowOff>0</xdr:rowOff>
    </xdr:from>
    <xdr:to>
      <xdr:col>9</xdr:col>
      <xdr:colOff>578711</xdr:colOff>
      <xdr:row>13</xdr:row>
      <xdr:rowOff>26874</xdr:rowOff>
    </xdr:to>
    <xdr:sp macro="" textlink="">
      <xdr:nvSpPr>
        <xdr:cNvPr id="46" name="Rectangle 45">
          <a:extLst>
            <a:ext uri="{FF2B5EF4-FFF2-40B4-BE49-F238E27FC236}">
              <a16:creationId xmlns:a16="http://schemas.microsoft.com/office/drawing/2014/main" id="{23EDAEDF-3412-45F8-BEC7-B65057546EDB}"/>
            </a:ext>
          </a:extLst>
        </xdr:cNvPr>
        <xdr:cNvSpPr/>
      </xdr:nvSpPr>
      <xdr:spPr>
        <a:xfrm>
          <a:off x="3670610" y="1548780"/>
          <a:ext cx="2414016" cy="1490472"/>
        </a:xfrm>
        <a:prstGeom prst="rect">
          <a:avLst/>
        </a:prstGeom>
        <a:solidFill>
          <a:srgbClr val="1F4E3D"/>
        </a:solidFill>
        <a:ln w="6350">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16</xdr:col>
      <xdr:colOff>0</xdr:colOff>
      <xdr:row>6</xdr:row>
      <xdr:rowOff>15486</xdr:rowOff>
    </xdr:from>
    <xdr:to>
      <xdr:col>19</xdr:col>
      <xdr:colOff>578711</xdr:colOff>
      <xdr:row>13</xdr:row>
      <xdr:rowOff>42360</xdr:rowOff>
    </xdr:to>
    <xdr:sp macro="" textlink="">
      <xdr:nvSpPr>
        <xdr:cNvPr id="47" name="Rectangle 46">
          <a:extLst>
            <a:ext uri="{FF2B5EF4-FFF2-40B4-BE49-F238E27FC236}">
              <a16:creationId xmlns:a16="http://schemas.microsoft.com/office/drawing/2014/main" id="{599C753A-FD0F-42BD-BC51-9D3895858054}"/>
            </a:ext>
          </a:extLst>
        </xdr:cNvPr>
        <xdr:cNvSpPr/>
      </xdr:nvSpPr>
      <xdr:spPr>
        <a:xfrm>
          <a:off x="9788293" y="1564266"/>
          <a:ext cx="2414016" cy="1490472"/>
        </a:xfrm>
        <a:prstGeom prst="rect">
          <a:avLst/>
        </a:prstGeom>
        <a:solidFill>
          <a:srgbClr val="1F4E3D"/>
        </a:solidFill>
        <a:ln w="6350">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14767</xdr:colOff>
      <xdr:row>40</xdr:row>
      <xdr:rowOff>160299</xdr:rowOff>
    </xdr:from>
    <xdr:to>
      <xdr:col>10</xdr:col>
      <xdr:colOff>0</xdr:colOff>
      <xdr:row>44</xdr:row>
      <xdr:rowOff>3816</xdr:rowOff>
    </xdr:to>
    <xdr:sp macro="" textlink="">
      <xdr:nvSpPr>
        <xdr:cNvPr id="10" name="TextBox 9">
          <a:extLst>
            <a:ext uri="{FF2B5EF4-FFF2-40B4-BE49-F238E27FC236}">
              <a16:creationId xmlns:a16="http://schemas.microsoft.com/office/drawing/2014/main" id="{5A65107C-14A4-CD30-259E-FA16A4E5721B}"/>
            </a:ext>
          </a:extLst>
        </xdr:cNvPr>
        <xdr:cNvSpPr txBox="1"/>
      </xdr:nvSpPr>
      <xdr:spPr>
        <a:xfrm>
          <a:off x="629283" y="8650864"/>
          <a:ext cx="5515878" cy="662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has compounded consistently from </a:t>
          </a:r>
          <a:r>
            <a:rPr lang="en-US" b="1"/>
            <a:t>$2.3M</a:t>
          </a:r>
          <a:r>
            <a:rPr lang="en-US"/>
            <a:t> to </a:t>
          </a:r>
          <a:r>
            <a:rPr lang="en-US" b="1"/>
            <a:t>$4.3M</a:t>
          </a:r>
          <a:r>
            <a:rPr lang="en-US"/>
            <a:t> over three years. Margin stability at 11–12% indicates a variable cost structure — growth is </a:t>
          </a:r>
          <a:r>
            <a:rPr lang="en-US" b="1"/>
            <a:t>volume-driven</a:t>
          </a:r>
          <a:r>
            <a:rPr lang="en-US"/>
            <a:t> rather than efficiency-driven. Limited margin expansion suggests </a:t>
          </a:r>
          <a:r>
            <a:rPr lang="en-US" b="1"/>
            <a:t>operating leverage has not yet been achieved.</a:t>
          </a:r>
          <a:endParaRPr lang="en-US" sz="1100" b="1"/>
        </a:p>
      </xdr:txBody>
    </xdr:sp>
    <xdr:clientData/>
  </xdr:twoCellAnchor>
  <xdr:twoCellAnchor>
    <xdr:from>
      <xdr:col>12</xdr:col>
      <xdr:colOff>23010</xdr:colOff>
      <xdr:row>40</xdr:row>
      <xdr:rowOff>160298</xdr:rowOff>
    </xdr:from>
    <xdr:to>
      <xdr:col>21</xdr:col>
      <xdr:colOff>8243</xdr:colOff>
      <xdr:row>44</xdr:row>
      <xdr:rowOff>124610</xdr:rowOff>
    </xdr:to>
    <xdr:sp macro="" textlink="">
      <xdr:nvSpPr>
        <xdr:cNvPr id="16" name="TextBox 15">
          <a:extLst>
            <a:ext uri="{FF2B5EF4-FFF2-40B4-BE49-F238E27FC236}">
              <a16:creationId xmlns:a16="http://schemas.microsoft.com/office/drawing/2014/main" id="{EDB091E5-E8A2-4770-A509-1A8898A94059}"/>
            </a:ext>
          </a:extLst>
        </xdr:cNvPr>
        <xdr:cNvSpPr txBox="1"/>
      </xdr:nvSpPr>
      <xdr:spPr>
        <a:xfrm>
          <a:off x="7397204" y="8650863"/>
          <a:ext cx="5515878" cy="783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has compounded consistently from </a:t>
          </a:r>
          <a:r>
            <a:rPr lang="en-US" b="1"/>
            <a:t>$2.3M</a:t>
          </a:r>
          <a:r>
            <a:rPr lang="en-US"/>
            <a:t> to </a:t>
          </a:r>
          <a:r>
            <a:rPr lang="en-US" b="1"/>
            <a:t>$4.3M</a:t>
          </a:r>
          <a:r>
            <a:rPr lang="en-US"/>
            <a:t> over three years. Margin stability at 11–12% indicates a variable cost structure — growth is </a:t>
          </a:r>
          <a:r>
            <a:rPr lang="en-US" b="1"/>
            <a:t>volume-driven</a:t>
          </a:r>
          <a:r>
            <a:rPr lang="en-US"/>
            <a:t> rather than efficiency-driven. Limited margin expansion suggests </a:t>
          </a:r>
          <a:r>
            <a:rPr lang="en-US" b="1"/>
            <a:t>operating leverage has not yet been achieved.</a:t>
          </a:r>
          <a:endParaRPr lang="en-US" sz="1100" b="1"/>
        </a:p>
      </xdr:txBody>
    </xdr:sp>
    <xdr:clientData/>
  </xdr:twoCellAnchor>
  <xdr:twoCellAnchor>
    <xdr:from>
      <xdr:col>1</xdr:col>
      <xdr:colOff>14767</xdr:colOff>
      <xdr:row>46</xdr:row>
      <xdr:rowOff>128814</xdr:rowOff>
    </xdr:from>
    <xdr:to>
      <xdr:col>10</xdr:col>
      <xdr:colOff>422452</xdr:colOff>
      <xdr:row>67</xdr:row>
      <xdr:rowOff>2926</xdr:rowOff>
    </xdr:to>
    <xdr:graphicFrame macro="">
      <xdr:nvGraphicFramePr>
        <xdr:cNvPr id="17" name="Chart 16">
          <a:extLst>
            <a:ext uri="{FF2B5EF4-FFF2-40B4-BE49-F238E27FC236}">
              <a16:creationId xmlns:a16="http://schemas.microsoft.com/office/drawing/2014/main" id="{D899A40A-426B-6784-7413-CBD2C2DD6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14767</xdr:colOff>
      <xdr:row>67</xdr:row>
      <xdr:rowOff>151131</xdr:rowOff>
    </xdr:from>
    <xdr:to>
      <xdr:col>10</xdr:col>
      <xdr:colOff>0</xdr:colOff>
      <xdr:row>71</xdr:row>
      <xdr:rowOff>123113</xdr:rowOff>
    </xdr:to>
    <xdr:sp macro="" textlink="">
      <xdr:nvSpPr>
        <xdr:cNvPr id="18" name="TextBox 17">
          <a:extLst>
            <a:ext uri="{FF2B5EF4-FFF2-40B4-BE49-F238E27FC236}">
              <a16:creationId xmlns:a16="http://schemas.microsoft.com/office/drawing/2014/main" id="{FE5347AB-3E32-4AA3-A4EB-6B6F32DE4EAD}"/>
            </a:ext>
          </a:extLst>
        </xdr:cNvPr>
        <xdr:cNvSpPr txBox="1"/>
      </xdr:nvSpPr>
      <xdr:spPr>
        <a:xfrm>
          <a:off x="623309" y="14623839"/>
          <a:ext cx="5462108" cy="818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Tables is the only sub-category </a:t>
          </a:r>
          <a:r>
            <a:rPr lang="en-US" b="1"/>
            <a:t>generating negative operating contribution</a:t>
          </a:r>
          <a:r>
            <a:rPr lang="en-US"/>
            <a:t>, driven by </a:t>
          </a:r>
          <a:r>
            <a:rPr lang="en-US" b="1"/>
            <a:t>excessive discounting </a:t>
          </a:r>
          <a:r>
            <a:rPr lang="en-US"/>
            <a:t>at </a:t>
          </a:r>
          <a:r>
            <a:rPr lang="en-US" b="1"/>
            <a:t>29%</a:t>
          </a:r>
          <a:r>
            <a:rPr lang="en-US"/>
            <a:t> versus the </a:t>
          </a:r>
          <a:r>
            <a:rPr lang="en-US" b="1"/>
            <a:t>14.3%</a:t>
          </a:r>
          <a:r>
            <a:rPr lang="en-US"/>
            <a:t> company average. Unit economics confirm this is a </a:t>
          </a:r>
          <a:r>
            <a:rPr lang="en-US" b="1"/>
            <a:t>pricing-led issue</a:t>
          </a:r>
          <a:r>
            <a:rPr lang="en-US"/>
            <a:t>,</a:t>
          </a:r>
          <a:r>
            <a:rPr lang="en-US" baseline="0"/>
            <a:t> </a:t>
          </a:r>
          <a:r>
            <a:rPr lang="en-US"/>
            <a:t>the effective selling price has been discounted below unit cost. This is immediately correctable through pricing discipline alone.</a:t>
          </a:r>
          <a:endParaRPr lang="en-US" sz="1100" b="1"/>
        </a:p>
      </xdr:txBody>
    </xdr:sp>
    <xdr:clientData/>
  </xdr:twoCellAnchor>
  <xdr:twoCellAnchor>
    <xdr:from>
      <xdr:col>12</xdr:col>
      <xdr:colOff>23010</xdr:colOff>
      <xdr:row>20</xdr:row>
      <xdr:rowOff>125873</xdr:rowOff>
    </xdr:from>
    <xdr:to>
      <xdr:col>21</xdr:col>
      <xdr:colOff>389943</xdr:colOff>
      <xdr:row>41</xdr:row>
      <xdr:rowOff>4828</xdr:rowOff>
    </xdr:to>
    <xdr:graphicFrame macro="">
      <xdr:nvGraphicFramePr>
        <xdr:cNvPr id="21" name="Chart 20">
          <a:extLst>
            <a:ext uri="{FF2B5EF4-FFF2-40B4-BE49-F238E27FC236}">
              <a16:creationId xmlns:a16="http://schemas.microsoft.com/office/drawing/2014/main" id="{BD6CE309-2E26-CB3C-A4B2-57173536B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23010</xdr:colOff>
      <xdr:row>67</xdr:row>
      <xdr:rowOff>158801</xdr:rowOff>
    </xdr:from>
    <xdr:to>
      <xdr:col>21</xdr:col>
      <xdr:colOff>8243</xdr:colOff>
      <xdr:row>71</xdr:row>
      <xdr:rowOff>123113</xdr:rowOff>
    </xdr:to>
    <xdr:sp macro="" textlink="">
      <xdr:nvSpPr>
        <xdr:cNvPr id="22" name="TextBox 21">
          <a:extLst>
            <a:ext uri="{FF2B5EF4-FFF2-40B4-BE49-F238E27FC236}">
              <a16:creationId xmlns:a16="http://schemas.microsoft.com/office/drawing/2014/main" id="{C5C6BFDC-1411-4F29-9560-2D86E295022E}"/>
            </a:ext>
          </a:extLst>
        </xdr:cNvPr>
        <xdr:cNvSpPr txBox="1"/>
      </xdr:nvSpPr>
      <xdr:spPr>
        <a:xfrm>
          <a:off x="7412101" y="14629104"/>
          <a:ext cx="5527051" cy="810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concentration in specific regions presents geographic risk for an acquirer. Margin variance across regions indicates inconsistent commercial execution and pricing discipline. Underperforming regions represent </a:t>
          </a:r>
          <a:r>
            <a:rPr lang="en-US" b="1"/>
            <a:t>operational improvement potential </a:t>
          </a:r>
          <a:r>
            <a:rPr lang="en-US"/>
            <a:t>subject to </a:t>
          </a:r>
          <a:r>
            <a:rPr lang="en-US" b="1"/>
            <a:t>further cost-to-serve analysis.</a:t>
          </a:r>
          <a:endParaRPr lang="en-US" sz="1100" b="1"/>
        </a:p>
      </xdr:txBody>
    </xdr:sp>
    <xdr:clientData/>
  </xdr:twoCellAnchor>
  <xdr:twoCellAnchor>
    <xdr:from>
      <xdr:col>1</xdr:col>
      <xdr:colOff>14767</xdr:colOff>
      <xdr:row>20</xdr:row>
      <xdr:rowOff>125873</xdr:rowOff>
    </xdr:from>
    <xdr:to>
      <xdr:col>10</xdr:col>
      <xdr:colOff>432723</xdr:colOff>
      <xdr:row>40</xdr:row>
      <xdr:rowOff>205002</xdr:rowOff>
    </xdr:to>
    <xdr:graphicFrame macro="">
      <xdr:nvGraphicFramePr>
        <xdr:cNvPr id="23" name="Chart 22">
          <a:extLst>
            <a:ext uri="{FF2B5EF4-FFF2-40B4-BE49-F238E27FC236}">
              <a16:creationId xmlns:a16="http://schemas.microsoft.com/office/drawing/2014/main" id="{9C468752-4B00-8669-CE77-0959BB543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14767</xdr:colOff>
      <xdr:row>74</xdr:row>
      <xdr:rowOff>133536</xdr:rowOff>
    </xdr:from>
    <xdr:to>
      <xdr:col>10</xdr:col>
      <xdr:colOff>468656</xdr:colOff>
      <xdr:row>95</xdr:row>
      <xdr:rowOff>21351</xdr:rowOff>
    </xdr:to>
    <xdr:graphicFrame macro="">
      <xdr:nvGraphicFramePr>
        <xdr:cNvPr id="24" name="Chart 23">
          <a:extLst>
            <a:ext uri="{FF2B5EF4-FFF2-40B4-BE49-F238E27FC236}">
              <a16:creationId xmlns:a16="http://schemas.microsoft.com/office/drawing/2014/main" id="{207D0779-12D9-3E9D-AB62-E951A181D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20873</xdr:colOff>
      <xdr:row>67</xdr:row>
      <xdr:rowOff>149095</xdr:rowOff>
    </xdr:from>
    <xdr:to>
      <xdr:col>10</xdr:col>
      <xdr:colOff>6106</xdr:colOff>
      <xdr:row>71</xdr:row>
      <xdr:rowOff>121077</xdr:rowOff>
    </xdr:to>
    <xdr:sp macro="" textlink="">
      <xdr:nvSpPr>
        <xdr:cNvPr id="25" name="TextBox 24">
          <a:extLst>
            <a:ext uri="{FF2B5EF4-FFF2-40B4-BE49-F238E27FC236}">
              <a16:creationId xmlns:a16="http://schemas.microsoft.com/office/drawing/2014/main" id="{F027085A-9210-4388-A4FD-B24D19559F78}"/>
            </a:ext>
          </a:extLst>
        </xdr:cNvPr>
        <xdr:cNvSpPr txBox="1"/>
      </xdr:nvSpPr>
      <xdr:spPr>
        <a:xfrm>
          <a:off x="623309" y="14623839"/>
          <a:ext cx="5407156" cy="818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Tables is the only sub-category </a:t>
          </a:r>
          <a:r>
            <a:rPr lang="en-US" b="1"/>
            <a:t>generating negative operating contribution</a:t>
          </a:r>
          <a:r>
            <a:rPr lang="en-US"/>
            <a:t>, driven by </a:t>
          </a:r>
          <a:r>
            <a:rPr lang="en-US" b="1"/>
            <a:t>excessive discounting </a:t>
          </a:r>
          <a:r>
            <a:rPr lang="en-US"/>
            <a:t>at </a:t>
          </a:r>
          <a:r>
            <a:rPr lang="en-US" b="1"/>
            <a:t>29%</a:t>
          </a:r>
          <a:r>
            <a:rPr lang="en-US"/>
            <a:t> versus the </a:t>
          </a:r>
          <a:r>
            <a:rPr lang="en-US" b="1"/>
            <a:t>14.3%</a:t>
          </a:r>
          <a:r>
            <a:rPr lang="en-US"/>
            <a:t> company average. Unit economics confirm this is a </a:t>
          </a:r>
          <a:r>
            <a:rPr lang="en-US" b="1"/>
            <a:t>pricing-led issue</a:t>
          </a:r>
          <a:r>
            <a:rPr lang="en-US"/>
            <a:t>,</a:t>
          </a:r>
          <a:r>
            <a:rPr lang="en-US" baseline="0"/>
            <a:t> </a:t>
          </a:r>
          <a:r>
            <a:rPr lang="en-US"/>
            <a:t>the effective selling price has been discounted below unit cost. This is immediately correctable through pricing discipline alone.</a:t>
          </a:r>
          <a:endParaRPr lang="en-US" sz="1100" b="1"/>
        </a:p>
      </xdr:txBody>
    </xdr:sp>
    <xdr:clientData/>
  </xdr:twoCellAnchor>
  <xdr:twoCellAnchor>
    <xdr:from>
      <xdr:col>1</xdr:col>
      <xdr:colOff>20873</xdr:colOff>
      <xdr:row>95</xdr:row>
      <xdr:rowOff>40985</xdr:rowOff>
    </xdr:from>
    <xdr:to>
      <xdr:col>10</xdr:col>
      <xdr:colOff>6106</xdr:colOff>
      <xdr:row>99</xdr:row>
      <xdr:rowOff>12966</xdr:rowOff>
    </xdr:to>
    <xdr:sp macro="" textlink="">
      <xdr:nvSpPr>
        <xdr:cNvPr id="26" name="TextBox 25">
          <a:extLst>
            <a:ext uri="{FF2B5EF4-FFF2-40B4-BE49-F238E27FC236}">
              <a16:creationId xmlns:a16="http://schemas.microsoft.com/office/drawing/2014/main" id="{8B7BB212-4799-4658-987B-827DC2AF5841}"/>
            </a:ext>
          </a:extLst>
        </xdr:cNvPr>
        <xdr:cNvSpPr txBox="1"/>
      </xdr:nvSpPr>
      <xdr:spPr>
        <a:xfrm>
          <a:off x="623309" y="20442395"/>
          <a:ext cx="5407156" cy="818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is </a:t>
          </a:r>
          <a:r>
            <a:rPr lang="en-US" b="1"/>
            <a:t>distributed across three customer segments </a:t>
          </a:r>
          <a:r>
            <a:rPr lang="en-US"/>
            <a:t>with no single segment exceeding 55% of total. This diversification </a:t>
          </a:r>
          <a:r>
            <a:rPr lang="en-US" b="1"/>
            <a:t>reduces customer concentration risk </a:t>
          </a:r>
          <a:r>
            <a:rPr lang="en-US"/>
            <a:t>and supports revenue quality,</a:t>
          </a:r>
          <a:r>
            <a:rPr lang="en-US" baseline="0"/>
            <a:t> </a:t>
          </a:r>
          <a:r>
            <a:rPr lang="en-US"/>
            <a:t>a positive signal for acquisition attractiveness. Margins are broadly consistent across segments indicating no significant customer-mix profitability risk.</a:t>
          </a:r>
          <a:endParaRPr lang="en-US" sz="1100" b="1"/>
        </a:p>
      </xdr:txBody>
    </xdr:sp>
    <xdr:clientData/>
  </xdr:twoCellAnchor>
  <xdr:twoCellAnchor>
    <xdr:from>
      <xdr:col>12</xdr:col>
      <xdr:colOff>23010</xdr:colOff>
      <xdr:row>74</xdr:row>
      <xdr:rowOff>133536</xdr:rowOff>
    </xdr:from>
    <xdr:to>
      <xdr:col>21</xdr:col>
      <xdr:colOff>389503</xdr:colOff>
      <xdr:row>95</xdr:row>
      <xdr:rowOff>9415</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AC7E8DB0-5DC7-2FD5-6324-AABEF06E2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38210" y="16008536"/>
              <a:ext cx="5852893" cy="42764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7551</xdr:colOff>
      <xdr:row>95</xdr:row>
      <xdr:rowOff>45425</xdr:rowOff>
    </xdr:from>
    <xdr:to>
      <xdr:col>9</xdr:col>
      <xdr:colOff>608542</xdr:colOff>
      <xdr:row>99</xdr:row>
      <xdr:rowOff>17406</xdr:rowOff>
    </xdr:to>
    <xdr:sp macro="" textlink="">
      <xdr:nvSpPr>
        <xdr:cNvPr id="28" name="TextBox 27">
          <a:extLst>
            <a:ext uri="{FF2B5EF4-FFF2-40B4-BE49-F238E27FC236}">
              <a16:creationId xmlns:a16="http://schemas.microsoft.com/office/drawing/2014/main" id="{199EA5C8-DC0D-4489-8901-759D7874CBC0}"/>
            </a:ext>
          </a:extLst>
        </xdr:cNvPr>
        <xdr:cNvSpPr txBox="1"/>
      </xdr:nvSpPr>
      <xdr:spPr>
        <a:xfrm>
          <a:off x="623309" y="20442395"/>
          <a:ext cx="5527051" cy="818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is </a:t>
          </a:r>
          <a:r>
            <a:rPr lang="en-US" b="1"/>
            <a:t>distributed across three customer segments </a:t>
          </a:r>
          <a:r>
            <a:rPr lang="en-US"/>
            <a:t>with no single segment exceeding 55% of total. This diversification </a:t>
          </a:r>
          <a:r>
            <a:rPr lang="en-US" b="1"/>
            <a:t>reduces customer concentration risk </a:t>
          </a:r>
          <a:r>
            <a:rPr lang="en-US"/>
            <a:t>and supports revenue quality,</a:t>
          </a:r>
          <a:r>
            <a:rPr lang="en-US" baseline="0"/>
            <a:t> </a:t>
          </a:r>
          <a:r>
            <a:rPr lang="en-US"/>
            <a:t>a positive signal for acquisition attractiveness. Margins are broadly consistent across segments indicating no significant customer-mix profitability risk.</a:t>
          </a:r>
          <a:endParaRPr lang="en-US" sz="1100" b="1"/>
        </a:p>
      </xdr:txBody>
    </xdr:sp>
    <xdr:clientData/>
  </xdr:twoCellAnchor>
  <xdr:twoCellAnchor>
    <xdr:from>
      <xdr:col>12</xdr:col>
      <xdr:colOff>23010</xdr:colOff>
      <xdr:row>95</xdr:row>
      <xdr:rowOff>45425</xdr:rowOff>
    </xdr:from>
    <xdr:to>
      <xdr:col>21</xdr:col>
      <xdr:colOff>8243</xdr:colOff>
      <xdr:row>99</xdr:row>
      <xdr:rowOff>17406</xdr:rowOff>
    </xdr:to>
    <xdr:sp macro="" textlink="">
      <xdr:nvSpPr>
        <xdr:cNvPr id="29" name="TextBox 28">
          <a:extLst>
            <a:ext uri="{FF2B5EF4-FFF2-40B4-BE49-F238E27FC236}">
              <a16:creationId xmlns:a16="http://schemas.microsoft.com/office/drawing/2014/main" id="{CD48D608-A96A-4225-9D9D-79A9811AC467}"/>
            </a:ext>
          </a:extLst>
        </xdr:cNvPr>
        <xdr:cNvSpPr txBox="1"/>
      </xdr:nvSpPr>
      <xdr:spPr>
        <a:xfrm>
          <a:off x="7412101" y="20442395"/>
          <a:ext cx="5527051" cy="818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Three operationally distinct value creation levers :</a:t>
          </a:r>
          <a:r>
            <a:rPr lang="en-US" baseline="0"/>
            <a:t> </a:t>
          </a:r>
          <a:r>
            <a:rPr lang="en-US" b="1"/>
            <a:t>Tables pricing rationalisation, Office Supplies margin recovery</a:t>
          </a:r>
          <a:r>
            <a:rPr lang="en-US"/>
            <a:t>, and </a:t>
          </a:r>
          <a:r>
            <a:rPr lang="en-US" b="1"/>
            <a:t>Technology acceleration , </a:t>
          </a:r>
          <a:r>
            <a:rPr lang="en-US"/>
            <a:t>represent a combined EBIT improvement of </a:t>
          </a:r>
          <a:r>
            <a:rPr lang="en-US" b="1"/>
            <a:t>$329,119</a:t>
          </a:r>
          <a:r>
            <a:rPr lang="en-US"/>
            <a:t> versus the base case. Each lever is independently evidenced by transactional data analysis and requires </a:t>
          </a:r>
          <a:r>
            <a:rPr lang="en-US" b="1"/>
            <a:t>no capital expenditure to initiate.</a:t>
          </a:r>
          <a:endParaRPr lang="en-US" sz="1100" b="1"/>
        </a:p>
      </xdr:txBody>
    </xdr:sp>
    <xdr:clientData/>
  </xdr:twoCellAnchor>
  <xdr:twoCellAnchor>
    <xdr:from>
      <xdr:col>12</xdr:col>
      <xdr:colOff>147520</xdr:colOff>
      <xdr:row>20</xdr:row>
      <xdr:rowOff>125873</xdr:rowOff>
    </xdr:from>
    <xdr:to>
      <xdr:col>22</xdr:col>
      <xdr:colOff>31014</xdr:colOff>
      <xdr:row>41</xdr:row>
      <xdr:rowOff>905</xdr:rowOff>
    </xdr:to>
    <xdr:graphicFrame macro="">
      <xdr:nvGraphicFramePr>
        <xdr:cNvPr id="30" name="Chart 29">
          <a:extLst>
            <a:ext uri="{FF2B5EF4-FFF2-40B4-BE49-F238E27FC236}">
              <a16:creationId xmlns:a16="http://schemas.microsoft.com/office/drawing/2014/main" id="{308970E2-4817-456D-A374-71E64D2B6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23010</xdr:colOff>
      <xdr:row>46</xdr:row>
      <xdr:rowOff>128814</xdr:rowOff>
    </xdr:from>
    <xdr:to>
      <xdr:col>21</xdr:col>
      <xdr:colOff>484652</xdr:colOff>
      <xdr:row>67</xdr:row>
      <xdr:rowOff>77222</xdr:rowOff>
    </xdr:to>
    <xdr:graphicFrame macro="">
      <xdr:nvGraphicFramePr>
        <xdr:cNvPr id="31" name="Chart 30">
          <a:extLst>
            <a:ext uri="{FF2B5EF4-FFF2-40B4-BE49-F238E27FC236}">
              <a16:creationId xmlns:a16="http://schemas.microsoft.com/office/drawing/2014/main" id="{18B12AC0-97E4-4B97-BEF5-0D1CA0274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6</xdr:row>
      <xdr:rowOff>0</xdr:rowOff>
    </xdr:from>
    <xdr:to>
      <xdr:col>5</xdr:col>
      <xdr:colOff>1</xdr:colOff>
      <xdr:row>9</xdr:row>
      <xdr:rowOff>0</xdr:rowOff>
    </xdr:to>
    <xdr:sp macro="" textlink="">
      <xdr:nvSpPr>
        <xdr:cNvPr id="32" name="TextBox 31">
          <a:extLst>
            <a:ext uri="{FF2B5EF4-FFF2-40B4-BE49-F238E27FC236}">
              <a16:creationId xmlns:a16="http://schemas.microsoft.com/office/drawing/2014/main" id="{9B790D1C-2A6F-4781-51BE-10CE68DEE1B4}"/>
            </a:ext>
          </a:extLst>
        </xdr:cNvPr>
        <xdr:cNvSpPr txBox="1"/>
      </xdr:nvSpPr>
      <xdr:spPr>
        <a:xfrm>
          <a:off x="609257" y="1527432"/>
          <a:ext cx="2437028" cy="6178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rPr>
            <a:t>2014</a:t>
          </a:r>
          <a:r>
            <a:rPr lang="en-US" sz="1400" b="1" baseline="0">
              <a:solidFill>
                <a:srgbClr val="1F4E3D"/>
              </a:solidFill>
              <a:latin typeface="Open Sans" panose="020B0606030504020204" pitchFamily="34" charset="0"/>
              <a:ea typeface="Open Sans" panose="020B0606030504020204" pitchFamily="34" charset="0"/>
              <a:cs typeface="Open Sans" panose="020B0606030504020204" pitchFamily="34" charset="0"/>
            </a:rPr>
            <a:t> Revenue</a:t>
          </a:r>
          <a:endPar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0</xdr:col>
      <xdr:colOff>605842</xdr:colOff>
      <xdr:row>9</xdr:row>
      <xdr:rowOff>0</xdr:rowOff>
    </xdr:from>
    <xdr:to>
      <xdr:col>4</xdr:col>
      <xdr:colOff>605841</xdr:colOff>
      <xdr:row>11</xdr:row>
      <xdr:rowOff>0</xdr:rowOff>
    </xdr:to>
    <xdr:sp macro="" textlink="$Y$76">
      <xdr:nvSpPr>
        <xdr:cNvPr id="33" name="TextBox 32">
          <a:extLst>
            <a:ext uri="{FF2B5EF4-FFF2-40B4-BE49-F238E27FC236}">
              <a16:creationId xmlns:a16="http://schemas.microsoft.com/office/drawing/2014/main" id="{4FA36037-7D1F-E5A9-AAF6-81513AB9F9A7}"/>
            </a:ext>
          </a:extLst>
        </xdr:cNvPr>
        <xdr:cNvSpPr txBox="1"/>
      </xdr:nvSpPr>
      <xdr:spPr>
        <a:xfrm>
          <a:off x="605842" y="2186862"/>
          <a:ext cx="2436326" cy="4211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9C9B69-D7F8-476B-AA2D-A8A37BEB302E}" type="TxLink">
            <a:rPr lang="en-US" sz="2000" b="1" i="0" u="none" strike="noStrike">
              <a:solidFill>
                <a:srgbClr val="1F4E3D"/>
              </a:solidFill>
              <a:latin typeface="Open Sans"/>
              <a:ea typeface="Open Sans"/>
              <a:cs typeface="Open Sans"/>
            </a:rPr>
            <a:pPr algn="ctr"/>
            <a:t>$4.3M</a:t>
          </a:fld>
          <a:endParaRPr lang="en-US" sz="2000" b="1">
            <a:solidFill>
              <a:srgbClr val="1F4E3D"/>
            </a:solidFill>
          </a:endParaRPr>
        </a:p>
      </xdr:txBody>
    </xdr:sp>
    <xdr:clientData/>
  </xdr:twoCellAnchor>
  <xdr:twoCellAnchor>
    <xdr:from>
      <xdr:col>1</xdr:col>
      <xdr:colOff>0</xdr:colOff>
      <xdr:row>11</xdr:row>
      <xdr:rowOff>0</xdr:rowOff>
    </xdr:from>
    <xdr:to>
      <xdr:col>5</xdr:col>
      <xdr:colOff>0</xdr:colOff>
      <xdr:row>13</xdr:row>
      <xdr:rowOff>1</xdr:rowOff>
    </xdr:to>
    <xdr:sp macro="" textlink="">
      <xdr:nvSpPr>
        <xdr:cNvPr id="34" name="TextBox 33">
          <a:extLst>
            <a:ext uri="{FF2B5EF4-FFF2-40B4-BE49-F238E27FC236}">
              <a16:creationId xmlns:a16="http://schemas.microsoft.com/office/drawing/2014/main" id="{0483FB22-3D5C-441B-9118-07FF6A7B9F5C}"/>
            </a:ext>
          </a:extLst>
        </xdr:cNvPr>
        <xdr:cNvSpPr txBox="1"/>
      </xdr:nvSpPr>
      <xdr:spPr>
        <a:xfrm>
          <a:off x="609257" y="2557162"/>
          <a:ext cx="2437027" cy="411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1F4E3D"/>
              </a:solidFill>
              <a:latin typeface="Open Sans" panose="020B0606030504020204" pitchFamily="34" charset="0"/>
              <a:ea typeface="Open Sans" panose="020B0606030504020204" pitchFamily="34" charset="0"/>
              <a:cs typeface="Open Sans" panose="020B0606030504020204" pitchFamily="34" charset="0"/>
            </a:rPr>
            <a:t>+26%</a:t>
          </a:r>
        </a:p>
      </xdr:txBody>
    </xdr:sp>
    <xdr:clientData/>
  </xdr:twoCellAnchor>
  <xdr:twoCellAnchor>
    <xdr:from>
      <xdr:col>6</xdr:col>
      <xdr:colOff>1021</xdr:colOff>
      <xdr:row>6</xdr:row>
      <xdr:rowOff>5720</xdr:rowOff>
    </xdr:from>
    <xdr:to>
      <xdr:col>10</xdr:col>
      <xdr:colOff>1023</xdr:colOff>
      <xdr:row>9</xdr:row>
      <xdr:rowOff>5720</xdr:rowOff>
    </xdr:to>
    <xdr:sp macro="" textlink="">
      <xdr:nvSpPr>
        <xdr:cNvPr id="35" name="TextBox 34">
          <a:extLst>
            <a:ext uri="{FF2B5EF4-FFF2-40B4-BE49-F238E27FC236}">
              <a16:creationId xmlns:a16="http://schemas.microsoft.com/office/drawing/2014/main" id="{8232D7E8-6CC2-4356-81B9-80C77C3A1E68}"/>
            </a:ext>
          </a:extLst>
        </xdr:cNvPr>
        <xdr:cNvSpPr txBox="1"/>
      </xdr:nvSpPr>
      <xdr:spPr>
        <a:xfrm>
          <a:off x="3656562" y="1533152"/>
          <a:ext cx="2437029" cy="617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Open Sans" panose="020B0606030504020204" pitchFamily="34" charset="0"/>
              <a:ea typeface="Open Sans" panose="020B0606030504020204" pitchFamily="34" charset="0"/>
              <a:cs typeface="Open Sans" panose="020B0606030504020204" pitchFamily="34" charset="0"/>
            </a:rPr>
            <a:t>OC Margin</a:t>
          </a:r>
        </a:p>
      </xdr:txBody>
    </xdr:sp>
    <xdr:clientData/>
  </xdr:twoCellAnchor>
  <xdr:twoCellAnchor>
    <xdr:from>
      <xdr:col>5</xdr:col>
      <xdr:colOff>605843</xdr:colOff>
      <xdr:row>8</xdr:row>
      <xdr:rowOff>211666</xdr:rowOff>
    </xdr:from>
    <xdr:to>
      <xdr:col>9</xdr:col>
      <xdr:colOff>605842</xdr:colOff>
      <xdr:row>10</xdr:row>
      <xdr:rowOff>211665</xdr:rowOff>
    </xdr:to>
    <xdr:sp macro="" textlink="$Y$78">
      <xdr:nvSpPr>
        <xdr:cNvPr id="36" name="TextBox 35">
          <a:extLst>
            <a:ext uri="{FF2B5EF4-FFF2-40B4-BE49-F238E27FC236}">
              <a16:creationId xmlns:a16="http://schemas.microsoft.com/office/drawing/2014/main" id="{283F27C8-260C-4376-AF0A-14546E0FBA17}"/>
            </a:ext>
          </a:extLst>
        </xdr:cNvPr>
        <xdr:cNvSpPr txBox="1"/>
      </xdr:nvSpPr>
      <xdr:spPr>
        <a:xfrm>
          <a:off x="3667450" y="2192261"/>
          <a:ext cx="2449285"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latin typeface="Open Sans"/>
              <a:ea typeface="Open Sans"/>
              <a:cs typeface="Open Sans"/>
            </a:rPr>
            <a:t>11.7%</a:t>
          </a:r>
          <a:endParaRPr lang="en-US" sz="2000" b="1" i="0">
            <a:solidFill>
              <a:schemeClr val="bg1"/>
            </a:solidFill>
          </a:endParaRPr>
        </a:p>
      </xdr:txBody>
    </xdr:sp>
    <xdr:clientData/>
  </xdr:twoCellAnchor>
  <xdr:twoCellAnchor>
    <xdr:from>
      <xdr:col>6</xdr:col>
      <xdr:colOff>0</xdr:colOff>
      <xdr:row>10</xdr:row>
      <xdr:rowOff>211665</xdr:rowOff>
    </xdr:from>
    <xdr:to>
      <xdr:col>10</xdr:col>
      <xdr:colOff>1</xdr:colOff>
      <xdr:row>13</xdr:row>
      <xdr:rowOff>0</xdr:rowOff>
    </xdr:to>
    <xdr:sp macro="" textlink="">
      <xdr:nvSpPr>
        <xdr:cNvPr id="37" name="TextBox 36">
          <a:extLst>
            <a:ext uri="{FF2B5EF4-FFF2-40B4-BE49-F238E27FC236}">
              <a16:creationId xmlns:a16="http://schemas.microsoft.com/office/drawing/2014/main" id="{15695327-F96A-480C-8FEF-A257557D3B45}"/>
            </a:ext>
          </a:extLst>
        </xdr:cNvPr>
        <xdr:cNvSpPr txBox="1"/>
      </xdr:nvSpPr>
      <xdr:spPr>
        <a:xfrm>
          <a:off x="3673929" y="2615594"/>
          <a:ext cx="2449286" cy="423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chemeClr val="bg1"/>
              </a:solidFill>
              <a:latin typeface="Open Sans" panose="020B0606030504020204" pitchFamily="34" charset="0"/>
              <a:ea typeface="Open Sans" panose="020B0606030504020204" pitchFamily="34" charset="0"/>
              <a:cs typeface="Open Sans" panose="020B0606030504020204" pitchFamily="34" charset="0"/>
            </a:rPr>
            <a:t>Stable 2011-14</a:t>
          </a:r>
        </a:p>
      </xdr:txBody>
    </xdr:sp>
    <xdr:clientData/>
  </xdr:twoCellAnchor>
  <xdr:twoCellAnchor>
    <xdr:from>
      <xdr:col>11</xdr:col>
      <xdr:colOff>2044</xdr:colOff>
      <xdr:row>6</xdr:row>
      <xdr:rowOff>0</xdr:rowOff>
    </xdr:from>
    <xdr:to>
      <xdr:col>14</xdr:col>
      <xdr:colOff>608236</xdr:colOff>
      <xdr:row>9</xdr:row>
      <xdr:rowOff>0</xdr:rowOff>
    </xdr:to>
    <xdr:sp macro="" textlink="">
      <xdr:nvSpPr>
        <xdr:cNvPr id="38" name="TextBox 37">
          <a:extLst>
            <a:ext uri="{FF2B5EF4-FFF2-40B4-BE49-F238E27FC236}">
              <a16:creationId xmlns:a16="http://schemas.microsoft.com/office/drawing/2014/main" id="{38AB0337-0F9A-4554-934E-8BE8F5EB1F2E}"/>
            </a:ext>
          </a:extLst>
        </xdr:cNvPr>
        <xdr:cNvSpPr txBox="1"/>
      </xdr:nvSpPr>
      <xdr:spPr>
        <a:xfrm>
          <a:off x="6703868" y="1527432"/>
          <a:ext cx="2433963" cy="6178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rPr>
            <a:t>Revenue</a:t>
          </a:r>
          <a:r>
            <a:rPr lang="en-US" sz="1400" b="1" baseline="0">
              <a:solidFill>
                <a:srgbClr val="1F4E3D"/>
              </a:solidFill>
              <a:latin typeface="Open Sans" panose="020B0606030504020204" pitchFamily="34" charset="0"/>
              <a:ea typeface="Open Sans" panose="020B0606030504020204" pitchFamily="34" charset="0"/>
              <a:cs typeface="Open Sans" panose="020B0606030504020204" pitchFamily="34" charset="0"/>
            </a:rPr>
            <a:t> CAGR</a:t>
          </a:r>
          <a:endParaRPr lang="en-US" sz="1400" b="1">
            <a:solidFill>
              <a:srgbClr val="1F4E3D"/>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10</xdr:col>
      <xdr:colOff>605841</xdr:colOff>
      <xdr:row>9</xdr:row>
      <xdr:rowOff>0</xdr:rowOff>
    </xdr:from>
    <xdr:to>
      <xdr:col>14</xdr:col>
      <xdr:colOff>605840</xdr:colOff>
      <xdr:row>11</xdr:row>
      <xdr:rowOff>0</xdr:rowOff>
    </xdr:to>
    <xdr:sp macro="" textlink="">
      <xdr:nvSpPr>
        <xdr:cNvPr id="39" name="TextBox 38">
          <a:extLst>
            <a:ext uri="{FF2B5EF4-FFF2-40B4-BE49-F238E27FC236}">
              <a16:creationId xmlns:a16="http://schemas.microsoft.com/office/drawing/2014/main" id="{BE653CC7-E8F5-4087-A20A-1B9429B2F2E1}"/>
            </a:ext>
          </a:extLst>
        </xdr:cNvPr>
        <xdr:cNvSpPr txBox="1"/>
      </xdr:nvSpPr>
      <xdr:spPr>
        <a:xfrm>
          <a:off x="6729055" y="2192262"/>
          <a:ext cx="2449285" cy="423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1F4E3D"/>
              </a:solidFill>
              <a:latin typeface="Open Sans"/>
              <a:ea typeface="Open Sans"/>
              <a:cs typeface="Open Sans"/>
            </a:rPr>
            <a:t>24%</a:t>
          </a:r>
        </a:p>
      </xdr:txBody>
    </xdr:sp>
    <xdr:clientData/>
  </xdr:twoCellAnchor>
  <xdr:twoCellAnchor>
    <xdr:from>
      <xdr:col>10</xdr:col>
      <xdr:colOff>612320</xdr:colOff>
      <xdr:row>11</xdr:row>
      <xdr:rowOff>0</xdr:rowOff>
    </xdr:from>
    <xdr:to>
      <xdr:col>14</xdr:col>
      <xdr:colOff>612320</xdr:colOff>
      <xdr:row>13</xdr:row>
      <xdr:rowOff>1</xdr:rowOff>
    </xdr:to>
    <xdr:sp macro="" textlink="">
      <xdr:nvSpPr>
        <xdr:cNvPr id="40" name="TextBox 39">
          <a:extLst>
            <a:ext uri="{FF2B5EF4-FFF2-40B4-BE49-F238E27FC236}">
              <a16:creationId xmlns:a16="http://schemas.microsoft.com/office/drawing/2014/main" id="{5072ACFF-3555-4A6D-AA33-46A23515EB95}"/>
            </a:ext>
          </a:extLst>
        </xdr:cNvPr>
        <xdr:cNvSpPr txBox="1"/>
      </xdr:nvSpPr>
      <xdr:spPr>
        <a:xfrm>
          <a:off x="6735534" y="2615595"/>
          <a:ext cx="2449286" cy="4233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1F4E3D"/>
              </a:solidFill>
              <a:latin typeface="Open Sans" panose="020B0606030504020204" pitchFamily="34" charset="0"/>
              <a:ea typeface="Open Sans" panose="020B0606030504020204" pitchFamily="34" charset="0"/>
              <a:cs typeface="Open Sans" panose="020B0606030504020204" pitchFamily="34" charset="0"/>
            </a:rPr>
            <a:t>3-year compound</a:t>
          </a:r>
        </a:p>
      </xdr:txBody>
    </xdr:sp>
    <xdr:clientData/>
  </xdr:twoCellAnchor>
  <xdr:twoCellAnchor>
    <xdr:from>
      <xdr:col>15</xdr:col>
      <xdr:colOff>598865</xdr:colOff>
      <xdr:row>6</xdr:row>
      <xdr:rowOff>1632</xdr:rowOff>
    </xdr:from>
    <xdr:to>
      <xdr:col>19</xdr:col>
      <xdr:colOff>598866</xdr:colOff>
      <xdr:row>9</xdr:row>
      <xdr:rowOff>0</xdr:rowOff>
    </xdr:to>
    <xdr:sp macro="" textlink="">
      <xdr:nvSpPr>
        <xdr:cNvPr id="41" name="TextBox 40">
          <a:extLst>
            <a:ext uri="{FF2B5EF4-FFF2-40B4-BE49-F238E27FC236}">
              <a16:creationId xmlns:a16="http://schemas.microsoft.com/office/drawing/2014/main" id="{5AE0C521-5C14-4B95-910F-A833BA7D5D39}"/>
            </a:ext>
          </a:extLst>
        </xdr:cNvPr>
        <xdr:cNvSpPr txBox="1"/>
      </xdr:nvSpPr>
      <xdr:spPr>
        <a:xfrm>
          <a:off x="9775389" y="1550412"/>
          <a:ext cx="2447075" cy="62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Open Sans" panose="020B0606030504020204" pitchFamily="34" charset="0"/>
              <a:ea typeface="Open Sans" panose="020B0606030504020204" pitchFamily="34" charset="0"/>
              <a:cs typeface="Open Sans" panose="020B0606030504020204" pitchFamily="34" charset="0"/>
            </a:rPr>
            <a:t>Base EBIT</a:t>
          </a:r>
          <a:r>
            <a:rPr lang="en-US" sz="1400" b="1" baseline="0">
              <a:solidFill>
                <a:schemeClr val="bg1"/>
              </a:solidFill>
              <a:latin typeface="Open Sans" panose="020B0606030504020204" pitchFamily="34" charset="0"/>
              <a:ea typeface="Open Sans" panose="020B0606030504020204" pitchFamily="34" charset="0"/>
              <a:cs typeface="Open Sans" panose="020B0606030504020204" pitchFamily="34" charset="0"/>
            </a:rPr>
            <a:t> 2015F</a:t>
          </a:r>
          <a:endParaRPr lang="en-US" sz="1400" b="1">
            <a:solidFill>
              <a:schemeClr val="bg1"/>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15</xdr:col>
      <xdr:colOff>598865</xdr:colOff>
      <xdr:row>9</xdr:row>
      <xdr:rowOff>0</xdr:rowOff>
    </xdr:from>
    <xdr:to>
      <xdr:col>19</xdr:col>
      <xdr:colOff>598864</xdr:colOff>
      <xdr:row>11</xdr:row>
      <xdr:rowOff>0</xdr:rowOff>
    </xdr:to>
    <xdr:sp macro="" textlink="$Y$78">
      <xdr:nvSpPr>
        <xdr:cNvPr id="42" name="TextBox 41">
          <a:extLst>
            <a:ext uri="{FF2B5EF4-FFF2-40B4-BE49-F238E27FC236}">
              <a16:creationId xmlns:a16="http://schemas.microsoft.com/office/drawing/2014/main" id="{D96089E8-620A-4002-8A5C-0FC11E6DF1BD}"/>
            </a:ext>
          </a:extLst>
        </xdr:cNvPr>
        <xdr:cNvSpPr txBox="1"/>
      </xdr:nvSpPr>
      <xdr:spPr>
        <a:xfrm>
          <a:off x="9775389" y="2176037"/>
          <a:ext cx="2447073" cy="41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latin typeface="Open Sans"/>
              <a:ea typeface="Open Sans"/>
              <a:cs typeface="Open Sans"/>
            </a:rPr>
            <a:t>$374,000</a:t>
          </a:r>
          <a:endParaRPr lang="en-US" sz="2000" b="1" i="0">
            <a:solidFill>
              <a:schemeClr val="bg1"/>
            </a:solidFill>
          </a:endParaRPr>
        </a:p>
      </xdr:txBody>
    </xdr:sp>
    <xdr:clientData/>
  </xdr:twoCellAnchor>
  <xdr:twoCellAnchor>
    <xdr:from>
      <xdr:col>15</xdr:col>
      <xdr:colOff>598865</xdr:colOff>
      <xdr:row>11</xdr:row>
      <xdr:rowOff>0</xdr:rowOff>
    </xdr:from>
    <xdr:to>
      <xdr:col>19</xdr:col>
      <xdr:colOff>598864</xdr:colOff>
      <xdr:row>13</xdr:row>
      <xdr:rowOff>1</xdr:rowOff>
    </xdr:to>
    <xdr:sp macro="" textlink="">
      <xdr:nvSpPr>
        <xdr:cNvPr id="43" name="TextBox 42">
          <a:extLst>
            <a:ext uri="{FF2B5EF4-FFF2-40B4-BE49-F238E27FC236}">
              <a16:creationId xmlns:a16="http://schemas.microsoft.com/office/drawing/2014/main" id="{DA66EEAA-57BA-4E4B-AAC9-D40E181B5138}"/>
            </a:ext>
          </a:extLst>
        </xdr:cNvPr>
        <xdr:cNvSpPr txBox="1"/>
      </xdr:nvSpPr>
      <xdr:spPr>
        <a:xfrm>
          <a:off x="9775389" y="2594207"/>
          <a:ext cx="2447073" cy="418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chemeClr val="bg1"/>
              </a:solidFill>
              <a:latin typeface="Open Sans" panose="020B0606030504020204" pitchFamily="34" charset="0"/>
              <a:ea typeface="Open Sans" panose="020B0606030504020204" pitchFamily="34" charset="0"/>
              <a:cs typeface="Open Sans" panose="020B0606030504020204" pitchFamily="34" charset="0"/>
            </a:rPr>
            <a:t>Illustrative</a:t>
          </a:r>
        </a:p>
      </xdr:txBody>
    </xdr:sp>
    <xdr:clientData/>
  </xdr:twoCellAnchor>
  <xdr:twoCellAnchor>
    <xdr:from>
      <xdr:col>1</xdr:col>
      <xdr:colOff>29535</xdr:colOff>
      <xdr:row>5</xdr:row>
      <xdr:rowOff>187053</xdr:rowOff>
    </xdr:from>
    <xdr:to>
      <xdr:col>4</xdr:col>
      <xdr:colOff>608246</xdr:colOff>
      <xdr:row>13</xdr:row>
      <xdr:rowOff>4842</xdr:rowOff>
    </xdr:to>
    <xdr:sp macro="" textlink="">
      <xdr:nvSpPr>
        <xdr:cNvPr id="44" name="Rectangle 43">
          <a:extLst>
            <a:ext uri="{FF2B5EF4-FFF2-40B4-BE49-F238E27FC236}">
              <a16:creationId xmlns:a16="http://schemas.microsoft.com/office/drawing/2014/main" id="{A7B1CEEE-E329-07BD-45A0-7361008B3246}"/>
            </a:ext>
          </a:extLst>
        </xdr:cNvPr>
        <xdr:cNvSpPr/>
      </xdr:nvSpPr>
      <xdr:spPr>
        <a:xfrm>
          <a:off x="641303" y="1526748"/>
          <a:ext cx="2414016" cy="1490472"/>
        </a:xfrm>
        <a:prstGeom prst="rect">
          <a:avLst/>
        </a:prstGeom>
        <a:noFill/>
        <a:ln>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6</xdr:row>
      <xdr:rowOff>0</xdr:rowOff>
    </xdr:from>
    <xdr:to>
      <xdr:col>14</xdr:col>
      <xdr:colOff>578711</xdr:colOff>
      <xdr:row>13</xdr:row>
      <xdr:rowOff>26874</xdr:rowOff>
    </xdr:to>
    <xdr:sp macro="" textlink="">
      <xdr:nvSpPr>
        <xdr:cNvPr id="45" name="Rectangle 44">
          <a:extLst>
            <a:ext uri="{FF2B5EF4-FFF2-40B4-BE49-F238E27FC236}">
              <a16:creationId xmlns:a16="http://schemas.microsoft.com/office/drawing/2014/main" id="{427445F2-91F1-4EFA-A8BC-B591BDB3DB5D}"/>
            </a:ext>
          </a:extLst>
        </xdr:cNvPr>
        <xdr:cNvSpPr/>
      </xdr:nvSpPr>
      <xdr:spPr>
        <a:xfrm>
          <a:off x="6729451" y="1548780"/>
          <a:ext cx="2414016" cy="1490472"/>
        </a:xfrm>
        <a:prstGeom prst="rect">
          <a:avLst/>
        </a:prstGeom>
        <a:noFill/>
        <a:ln>
          <a:solidFill>
            <a:srgbClr val="1F4E3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x`z`</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0.40127</cdr:x>
      <cdr:y>0.01598</cdr:y>
    </cdr:from>
    <cdr:to>
      <cdr:x>0.40201</cdr:x>
      <cdr:y>0.93264</cdr:y>
    </cdr:to>
    <cdr:cxnSp macro="">
      <cdr:nvCxnSpPr>
        <cdr:cNvPr id="3" name="Straight Connector 2">
          <a:extLst xmlns:a="http://schemas.openxmlformats.org/drawingml/2006/main">
            <a:ext uri="{FF2B5EF4-FFF2-40B4-BE49-F238E27FC236}">
              <a16:creationId xmlns:a16="http://schemas.microsoft.com/office/drawing/2014/main" id="{0A36473D-4988-9E3D-4360-F61E9053357E}"/>
            </a:ext>
          </a:extLst>
        </cdr:cNvPr>
        <cdr:cNvCxnSpPr/>
      </cdr:nvCxnSpPr>
      <cdr:spPr>
        <a:xfrm xmlns:a="http://schemas.openxmlformats.org/drawingml/2006/main">
          <a:off x="2370288" y="66359"/>
          <a:ext cx="4406" cy="3805386"/>
        </a:xfrm>
        <a:prstGeom xmlns:a="http://schemas.openxmlformats.org/drawingml/2006/main" prst="line">
          <a:avLst/>
        </a:prstGeom>
        <a:ln xmlns:a="http://schemas.openxmlformats.org/drawingml/2006/main">
          <a:solidFill>
            <a:schemeClr val="bg1">
              <a:lumMod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8.xml><?xml version="1.0" encoding="utf-8"?>
<c:userShapes xmlns:c="http://schemas.openxmlformats.org/drawingml/2006/chart">
  <cdr:relSizeAnchor xmlns:cdr="http://schemas.openxmlformats.org/drawingml/2006/chartDrawing">
    <cdr:from>
      <cdr:x>0.4333</cdr:x>
      <cdr:y>0</cdr:y>
    </cdr:from>
    <cdr:to>
      <cdr:x>0.87152</cdr:x>
      <cdr:y>0.19315</cdr:y>
    </cdr:to>
    <cdr:sp macro="" textlink="">
      <cdr:nvSpPr>
        <cdr:cNvPr id="2" name="TextBox 1">
          <a:extLst xmlns:a="http://schemas.openxmlformats.org/drawingml/2006/main">
            <a:ext uri="{FF2B5EF4-FFF2-40B4-BE49-F238E27FC236}">
              <a16:creationId xmlns:a16="http://schemas.microsoft.com/office/drawing/2014/main" id="{3C4AC9CF-C008-F407-E1AC-D661D2C761A7}"/>
            </a:ext>
          </a:extLst>
        </cdr:cNvPr>
        <cdr:cNvSpPr txBox="1"/>
      </cdr:nvSpPr>
      <cdr:spPr>
        <a:xfrm xmlns:a="http://schemas.openxmlformats.org/drawingml/2006/main">
          <a:off x="2579245" y="0"/>
          <a:ext cx="2608481" cy="848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i="1">
              <a:latin typeface="Open Sans" panose="020B0606030504020204" pitchFamily="34" charset="0"/>
              <a:ea typeface="Open Sans" panose="020B0606030504020204" pitchFamily="34" charset="0"/>
              <a:cs typeface="Open Sans" panose="020B0606030504020204" pitchFamily="34" charset="0"/>
            </a:rPr>
            <a:t>Margin Bands:</a:t>
          </a:r>
          <a:br>
            <a:rPr lang="en-US" sz="900" i="1">
              <a:latin typeface="Open Sans" panose="020B0606030504020204" pitchFamily="34" charset="0"/>
              <a:ea typeface="Open Sans" panose="020B0606030504020204" pitchFamily="34" charset="0"/>
              <a:cs typeface="Open Sans" panose="020B0606030504020204" pitchFamily="34" charset="0"/>
            </a:rPr>
          </a:br>
          <a:r>
            <a:rPr lang="en-US" sz="900" i="1">
              <a:latin typeface="Open Sans" panose="020B0606030504020204" pitchFamily="34" charset="0"/>
              <a:ea typeface="Open Sans" panose="020B0606030504020204" pitchFamily="34" charset="0"/>
              <a:cs typeface="Open Sans" panose="020B0606030504020204" pitchFamily="34" charset="0"/>
            </a:rPr>
            <a:t> =Underperforming</a:t>
          </a:r>
          <a:br>
            <a:rPr lang="en-US" sz="900" i="1">
              <a:latin typeface="Open Sans" panose="020B0606030504020204" pitchFamily="34" charset="0"/>
              <a:ea typeface="Open Sans" panose="020B0606030504020204" pitchFamily="34" charset="0"/>
              <a:cs typeface="Open Sans" panose="020B0606030504020204" pitchFamily="34" charset="0"/>
            </a:rPr>
          </a:br>
          <a:r>
            <a:rPr lang="en-US" sz="900" i="1" baseline="0">
              <a:latin typeface="Open Sans" panose="020B0606030504020204" pitchFamily="34" charset="0"/>
              <a:ea typeface="Open Sans" panose="020B0606030504020204" pitchFamily="34" charset="0"/>
              <a:cs typeface="Open Sans" panose="020B0606030504020204" pitchFamily="34" charset="0"/>
            </a:rPr>
            <a:t> =In-Line</a:t>
          </a:r>
          <a:br>
            <a:rPr lang="en-US" sz="900" i="1">
              <a:latin typeface="Open Sans" panose="020B0606030504020204" pitchFamily="34" charset="0"/>
              <a:ea typeface="Open Sans" panose="020B0606030504020204" pitchFamily="34" charset="0"/>
              <a:cs typeface="Open Sans" panose="020B0606030504020204" pitchFamily="34" charset="0"/>
            </a:rPr>
          </a:br>
          <a:r>
            <a:rPr lang="en-US" sz="900" i="1" baseline="0">
              <a:latin typeface="Open Sans" panose="020B0606030504020204" pitchFamily="34" charset="0"/>
              <a:ea typeface="Open Sans" panose="020B0606030504020204" pitchFamily="34" charset="0"/>
              <a:cs typeface="Open Sans" panose="020B0606030504020204" pitchFamily="34" charset="0"/>
            </a:rPr>
            <a:t> =Above Target</a:t>
          </a:r>
          <a:endParaRPr lang="en-US" sz="900" i="1" kern="1200">
            <a:latin typeface="Open Sans" panose="020B0606030504020204" pitchFamily="34" charset="0"/>
            <a:ea typeface="Open Sans" panose="020B0606030504020204" pitchFamily="34" charset="0"/>
            <a:cs typeface="Open Sans" panose="020B0606030504020204" pitchFamily="34" charset="0"/>
          </a:endParaRPr>
        </a:p>
      </cdr:txBody>
    </cdr:sp>
  </cdr:relSizeAnchor>
  <cdr:relSizeAnchor xmlns:cdr="http://schemas.openxmlformats.org/drawingml/2006/chartDrawing">
    <cdr:from>
      <cdr:x>0.42181</cdr:x>
      <cdr:y>0.05037</cdr:y>
    </cdr:from>
    <cdr:to>
      <cdr:x>0.44486</cdr:x>
      <cdr:y>0.08201</cdr:y>
    </cdr:to>
    <cdr:sp macro="" textlink="">
      <cdr:nvSpPr>
        <cdr:cNvPr id="3" name="Rectangle 2">
          <a:extLst xmlns:a="http://schemas.openxmlformats.org/drawingml/2006/main">
            <a:ext uri="{FF2B5EF4-FFF2-40B4-BE49-F238E27FC236}">
              <a16:creationId xmlns:a16="http://schemas.microsoft.com/office/drawing/2014/main" id="{5C8D9394-9EA9-0E2D-91A4-97DF5D5CA54D}"/>
            </a:ext>
          </a:extLst>
        </cdr:cNvPr>
        <cdr:cNvSpPr/>
      </cdr:nvSpPr>
      <cdr:spPr>
        <a:xfrm xmlns:a="http://schemas.openxmlformats.org/drawingml/2006/main">
          <a:off x="2508290" y="218295"/>
          <a:ext cx="137055" cy="137123"/>
        </a:xfrm>
        <a:prstGeom xmlns:a="http://schemas.openxmlformats.org/drawingml/2006/main" prst="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0.42181</cdr:x>
      <cdr:y>0.09349</cdr:y>
    </cdr:from>
    <cdr:to>
      <cdr:x>0.44486</cdr:x>
      <cdr:y>0.12513</cdr:y>
    </cdr:to>
    <cdr:sp macro="" textlink="">
      <cdr:nvSpPr>
        <cdr:cNvPr id="4" name="Rectangle 3">
          <a:extLst xmlns:a="http://schemas.openxmlformats.org/drawingml/2006/main">
            <a:ext uri="{FF2B5EF4-FFF2-40B4-BE49-F238E27FC236}">
              <a16:creationId xmlns:a16="http://schemas.microsoft.com/office/drawing/2014/main" id="{AEC96922-9450-8ABA-F261-6135579B6FE3}"/>
            </a:ext>
          </a:extLst>
        </cdr:cNvPr>
        <cdr:cNvSpPr/>
      </cdr:nvSpPr>
      <cdr:spPr>
        <a:xfrm xmlns:a="http://schemas.openxmlformats.org/drawingml/2006/main">
          <a:off x="2508290" y="405168"/>
          <a:ext cx="137055" cy="137123"/>
        </a:xfrm>
        <a:prstGeom xmlns:a="http://schemas.openxmlformats.org/drawingml/2006/main" prst="rect">
          <a:avLst/>
        </a:prstGeom>
        <a:solidFill xmlns:a="http://schemas.openxmlformats.org/drawingml/2006/main">
          <a:schemeClr val="accent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0.42181</cdr:x>
      <cdr:y>0.13661</cdr:y>
    </cdr:from>
    <cdr:to>
      <cdr:x>0.44486</cdr:x>
      <cdr:y>0.16825</cdr:y>
    </cdr:to>
    <cdr:sp macro="" textlink="">
      <cdr:nvSpPr>
        <cdr:cNvPr id="5" name="Rectangle 4">
          <a:extLst xmlns:a="http://schemas.openxmlformats.org/drawingml/2006/main">
            <a:ext uri="{FF2B5EF4-FFF2-40B4-BE49-F238E27FC236}">
              <a16:creationId xmlns:a16="http://schemas.microsoft.com/office/drawing/2014/main" id="{760CE2D0-351F-540F-8EA2-2B2C698A0638}"/>
            </a:ext>
          </a:extLst>
        </cdr:cNvPr>
        <cdr:cNvSpPr/>
      </cdr:nvSpPr>
      <cdr:spPr>
        <a:xfrm xmlns:a="http://schemas.openxmlformats.org/drawingml/2006/main">
          <a:off x="2508290" y="592042"/>
          <a:ext cx="137055" cy="137123"/>
        </a:xfrm>
        <a:prstGeom xmlns:a="http://schemas.openxmlformats.org/drawingml/2006/main" prst="rect">
          <a:avLst/>
        </a:prstGeom>
        <a:solidFill xmlns:a="http://schemas.openxmlformats.org/drawingml/2006/main">
          <a:schemeClr val="accent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9" xr16:uid="{826AEFB2-C5DC-4417-B60A-8DA65D6B1D0B}" autoFormatId="16" applyNumberFormats="0" applyBorderFormats="0" applyFontFormats="0" applyPatternFormats="0" applyAlignmentFormats="0" applyWidthHeightFormats="0">
  <queryTableRefresh nextId="11">
    <queryTableFields count="10">
      <queryTableField id="1" name="Sub-Category" tableColumnId="1"/>
      <queryTableField id="2" name="Category" tableColumnId="2"/>
      <queryTableField id="3" name="total_revenue" tableColumnId="3"/>
      <queryTableField id="4" name="total_profit" tableColumnId="4"/>
      <queryTableField id="5" name="profit_margin" tableColumnId="5"/>
      <queryTableField id="6" name="discount" tableColumnId="6"/>
      <queryTableField id="7" name="average_selling_price" tableColumnId="7"/>
      <queryTableField id="8" name="average_unit_cost" tableColumnId="8"/>
      <queryTableField id="9" name="average_unit_profit" tableColumnId="9"/>
      <queryTableField id="10" name="commerical_risk_flag"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connectionId="8" xr16:uid="{F5DE48F5-5972-4AF9-846A-1B6EEE142C0F}" autoFormatId="16" applyNumberFormats="0" applyBorderFormats="0" applyFontFormats="0" applyPatternFormats="0" applyAlignmentFormats="0" applyWidthHeightFormats="0">
  <queryTableRefresh nextId="2">
    <queryTableFields count="1">
      <queryTableField id="1" name="Discount"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7" xr16:uid="{77502A69-0417-4BFA-9C22-F79DBC65A41A}" autoFormatId="16" applyNumberFormats="0" applyBorderFormats="0" applyFontFormats="0" applyPatternFormats="0" applyAlignmentFormats="0" applyWidthHeightFormats="0">
  <queryTableRefresh nextId="8">
    <queryTableFields count="7">
      <queryTableField id="1" name="product_category" tableColumnId="1"/>
      <queryTableField id="2" name="total_revenue" tableColumnId="2"/>
      <queryTableField id="3" name="total_profit" tableColumnId="3"/>
      <queryTableField id="4" name="profit_margin" tableColumnId="4"/>
      <queryTableField id="5" name="revenue_share_pct" tableColumnId="5"/>
      <queryTableField id="6" name="profit_contribution_pct" tableColumnId="6"/>
      <queryTableField id="7" name="profit_vs_revenue_gap"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6" xr16:uid="{4F915EAE-2570-4A9C-8CA9-038D16F88ABA}" autoFormatId="16" applyNumberFormats="0" applyBorderFormats="0" applyFontFormats="0" applyPatternFormats="0" applyAlignmentFormats="0" applyWidthHeightFormats="0">
  <queryTableRefresh nextId="6">
    <queryTableFields count="5">
      <queryTableField id="1" name="customer_segment" tableColumnId="1"/>
      <queryTableField id="2" name="total_revenue" tableColumnId="2"/>
      <queryTableField id="3" name="total_profit" tableColumnId="3"/>
      <queryTableField id="4" name="profit_margin" tableColumnId="4"/>
      <queryTableField id="5" name="customer_segment_revenue_contribution_pc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5" xr16:uid="{990D2784-A593-46E1-8D36-62F3D9CAAA33}" autoFormatId="16" applyNumberFormats="0" applyBorderFormats="0" applyFontFormats="0" applyPatternFormats="0" applyAlignmentFormats="0" applyWidthHeightFormats="0">
  <queryTableRefresh nextId="6">
    <queryTableFields count="5">
      <queryTableField id="1" name="Region" tableColumnId="1"/>
      <queryTableField id="2" name="total_revenue" tableColumnId="2"/>
      <queryTableField id="3" name="total_profit" tableColumnId="3"/>
      <queryTableField id="4" name="profit_margin" tableColumnId="4"/>
      <queryTableField id="5" name="region_revenue_contribution_pct"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4" xr16:uid="{3A4F791D-DBA9-43A3-A90E-5CB6D91C3070}" autoFormatId="16" applyNumberFormats="0" applyBorderFormats="0" applyFontFormats="0" applyPatternFormats="0" applyAlignmentFormats="0" applyWidthHeightFormats="0">
  <queryTableRefresh nextId="7">
    <queryTableFields count="6">
      <queryTableField id="1" name="Sub-Category" tableColumnId="1"/>
      <queryTableField id="2" name="Category" tableColumnId="2"/>
      <queryTableField id="3" name="total_revenue" tableColumnId="3"/>
      <queryTableField id="4" name="total_profit" tableColumnId="4"/>
      <queryTableField id="5" name="profit_margin" tableColumnId="5"/>
      <queryTableField id="6" name="product_subcategory_contribution_pct"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3" xr16:uid="{A8C6D07E-F0BB-420B-A8D5-78C507FFBB1F}" autoFormatId="16" applyNumberFormats="0" applyBorderFormats="0" applyFontFormats="0" applyPatternFormats="0" applyAlignmentFormats="0" applyWidthHeightFormats="0">
  <queryTableRefresh nextId="6">
    <queryTableFields count="5">
      <queryTableField id="1" name="Category" tableColumnId="1"/>
      <queryTableField id="2" name="total_revenue" tableColumnId="2"/>
      <queryTableField id="3" name="total_profit" tableColumnId="3"/>
      <queryTableField id="4" name="profit_margin" tableColumnId="4"/>
      <queryTableField id="5" name="product_category_contribution_pct"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2" xr16:uid="{7105CD14-7928-4937-A087-3D8DB884092E}" autoFormatId="16" applyNumberFormats="0" applyBorderFormats="0" applyFontFormats="0" applyPatternFormats="0" applyAlignmentFormats="0" applyWidthHeightFormats="0">
  <queryTableRefresh nextId="8">
    <queryTableFields count="7">
      <queryTableField id="1" name="year" tableColumnId="1"/>
      <queryTableField id="2" name="total_revenue" tableColumnId="2"/>
      <queryTableField id="3" name="total_profit" tableColumnId="3"/>
      <queryTableField id="4" name="profit_margin" tableColumnId="4"/>
      <queryTableField id="5" name="previous_year_revenue" tableColumnId="5"/>
      <queryTableField id="6" name="revenue_change_pct" tableColumnId="6"/>
      <queryTableField id="7" name="profit_change_pct" tableColumnId="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 xr16:uid="{E4203D1F-95E7-491A-82F8-F23D8A9B7FDD}"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Country" tableColumnId="11"/>
      <queryTableField id="12" name="Postal Code" tableColumnId="12"/>
      <queryTableField id="13" name="Market"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23" name="Shipping Cost" tableColumnId="23"/>
      <queryTableField id="24" name="Order Priority" tableColumnId="2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0" xr16:uid="{92B241AB-6756-4EDB-BE7E-25C0D7C1BDA5}" autoFormatId="16" applyNumberFormats="0" applyBorderFormats="0" applyFontFormats="0" applyPatternFormats="0" applyAlignmentFormats="0" applyWidthHeightFormats="0">
  <queryTableRefresh nextId="8">
    <queryTableFields count="7">
      <queryTableField id="1" name="product_category" tableColumnId="1"/>
      <queryTableField id="2" name="total_revenue" tableColumnId="2"/>
      <queryTableField id="3" name="total_profit" tableColumnId="3"/>
      <queryTableField id="4" name="profit_margin" tableColumnId="4"/>
      <queryTableField id="5" name="revenue_share_pct" tableColumnId="5"/>
      <queryTableField id="6" name="profit_contribution_pct" tableColumnId="6"/>
      <queryTableField id="7" name="profit_vs_revenue_gap"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D6213BD-E104-4728-A619-5A10BE96CC8A}" name="_09_unit_economics_diagnostic" displayName="_09_unit_economics_diagnostic" ref="A1:J18" tableType="queryTable" totalsRowShown="0">
  <autoFilter ref="A1:J18" xr:uid="{FD6213BD-E104-4728-A619-5A10BE96CC8A}"/>
  <tableColumns count="10">
    <tableColumn id="1" xr3:uid="{4AA0CFC9-EE3E-4736-80D6-FF2DEDA667AB}" uniqueName="1" name="Sub-Category" queryTableFieldId="1" dataDxfId="26"/>
    <tableColumn id="2" xr3:uid="{5E560825-5FDE-4E9B-AB7D-123EA1DBE9E3}" uniqueName="2" name="Category" queryTableFieldId="2" dataDxfId="25"/>
    <tableColumn id="3" xr3:uid="{39AB278C-3CF9-48F8-AB62-0BDECEE237B4}" uniqueName="3" name="total_revenue" queryTableFieldId="3"/>
    <tableColumn id="4" xr3:uid="{D37CC451-CBBC-42BD-95D8-D33CAA358DD2}" uniqueName="4" name="total_profit" queryTableFieldId="4"/>
    <tableColumn id="5" xr3:uid="{70614AAE-A33B-4112-85AA-DDBA5147E457}" uniqueName="5" name="profit_margin" queryTableFieldId="5"/>
    <tableColumn id="6" xr3:uid="{495ABCB9-9752-48F6-82A3-CA89E3213A78}" uniqueName="6" name="discount" queryTableFieldId="6"/>
    <tableColumn id="7" xr3:uid="{C743FCF9-FF47-44B9-B4C8-CB8214989443}" uniqueName="7" name="average_selling_price" queryTableFieldId="7"/>
    <tableColumn id="8" xr3:uid="{8F41DAE2-A157-4065-866B-93DADD450E71}" uniqueName="8" name="average_unit_cost" queryTableFieldId="8"/>
    <tableColumn id="9" xr3:uid="{448A2354-D9AF-4F25-AA3B-25787BE3786F}" uniqueName="9" name="average_unit_profit" queryTableFieldId="9"/>
    <tableColumn id="10" xr3:uid="{0E326445-7398-4D92-B1B9-4E3D1896A779}" uniqueName="10" name="commerical_risk_flag" queryTableFieldId="10"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CFEAF6-2DFA-4F8E-B481-28450639CBAB}" name="_08_discount" displayName="_08_discount" ref="A1:A2" tableType="queryTable" totalsRowShown="0">
  <autoFilter ref="A1:A2" xr:uid="{D1CFEAF6-2DFA-4F8E-B481-28450639CBAB}"/>
  <tableColumns count="1">
    <tableColumn id="1" xr3:uid="{D5EFB50C-6A61-4915-B924-ECBC6808F875}" uniqueName="1" name="Discount"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74BCA21-9D1D-47DD-91A7-B0689BD926C2}" name="_07_profit_analysis" displayName="_07_profit_analysis" ref="A1:G4" tableType="queryTable" totalsRowShown="0">
  <autoFilter ref="A1:G4" xr:uid="{674BCA21-9D1D-47DD-91A7-B0689BD926C2}"/>
  <tableColumns count="7">
    <tableColumn id="1" xr3:uid="{54CFF396-C257-4C07-A16F-F4753112BCEB}" uniqueName="1" name="product_category" queryTableFieldId="1" dataDxfId="23"/>
    <tableColumn id="2" xr3:uid="{5F0589E9-259C-4AD6-9CFB-C8945EC623D5}" uniqueName="2" name="total_revenue" queryTableFieldId="2"/>
    <tableColumn id="3" xr3:uid="{9B5AAEC4-7814-4E16-A184-BA6BE619BC86}" uniqueName="3" name="total_profit" queryTableFieldId="3"/>
    <tableColumn id="4" xr3:uid="{64A6CF58-9344-4934-9D2D-125370C28C63}" uniqueName="4" name="profit_margin" queryTableFieldId="4"/>
    <tableColumn id="5" xr3:uid="{8F063272-6790-419D-A5D4-3B61CEE6DDB6}" uniqueName="5" name="revenue_share_pct" queryTableFieldId="5"/>
    <tableColumn id="6" xr3:uid="{1EE823AA-F22A-4E02-B9CC-00B00CECE5A2}" uniqueName="6" name="profit_contribution_pct" queryTableFieldId="6"/>
    <tableColumn id="7" xr3:uid="{B8BEF4E2-0E68-4F7E-8A07-6C75157D4C45}" uniqueName="7" name="profit_vs_revenue_gap"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E5B3D5-D9D8-4F2A-B1FE-35239B07BBFC}" name="_06_customer_segment_analysis" displayName="_06_customer_segment_analysis" ref="A1:E4" tableType="queryTable" totalsRowShown="0">
  <autoFilter ref="A1:E4" xr:uid="{E4E5B3D5-D9D8-4F2A-B1FE-35239B07BBFC}"/>
  <tableColumns count="5">
    <tableColumn id="1" xr3:uid="{ACFB5CC1-BCA8-42AF-8077-385B85A3E515}" uniqueName="1" name="customer_segment" queryTableFieldId="1" dataDxfId="22"/>
    <tableColumn id="2" xr3:uid="{08EA7685-A68F-433B-9248-899B56AB90AC}" uniqueName="2" name="total_revenue" queryTableFieldId="2"/>
    <tableColumn id="3" xr3:uid="{91252B9C-E473-4314-9B52-997B33139198}" uniqueName="3" name="total_profit" queryTableFieldId="3"/>
    <tableColumn id="4" xr3:uid="{19186D63-0ABA-4927-977D-8BB6B7E758BC}" uniqueName="4" name="profit_margin" queryTableFieldId="4"/>
    <tableColumn id="5" xr3:uid="{DE63AE2D-CF56-4FFF-A67B-A10C7C169FC0}" uniqueName="5" name="customer_segment_revenue_contribution_pct"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0C1150-39FC-4D82-B9CC-01C7327E4000}" name="_05_regional_analysis" displayName="_05_regional_analysis" ref="A1:E14" tableType="queryTable" totalsRowShown="0">
  <autoFilter ref="A1:E14" xr:uid="{8C0C1150-39FC-4D82-B9CC-01C7327E4000}"/>
  <tableColumns count="5">
    <tableColumn id="1" xr3:uid="{C2457A74-8D2F-4488-BA51-BF0D5653D78F}" uniqueName="1" name="Region" queryTableFieldId="1" dataDxfId="21"/>
    <tableColumn id="2" xr3:uid="{8021316D-40A3-4D57-8CC6-A691F01DA937}" uniqueName="2" name="total_revenue" queryTableFieldId="2"/>
    <tableColumn id="3" xr3:uid="{48865615-0D36-4C9F-9D4A-D4890A47A106}" uniqueName="3" name="total_profit" queryTableFieldId="3"/>
    <tableColumn id="4" xr3:uid="{7719994B-1B2F-48A1-B646-48A02857DD0A}" uniqueName="4" name="profit_margin" queryTableFieldId="4"/>
    <tableColumn id="5" xr3:uid="{496E0282-6AB5-4C34-8239-0717E6B404BA}" uniqueName="5" name="region_revenue_contribution_pct"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D7C3F0-202D-4A78-B896-01E8934AD3C0}" name="_04_product_subcategory_analysis" displayName="_04_product_subcategory_analysis" ref="A1:F18" tableType="queryTable" totalsRowShown="0">
  <autoFilter ref="A1:F18" xr:uid="{D7D7C3F0-202D-4A78-B896-01E8934AD3C0}"/>
  <sortState xmlns:xlrd2="http://schemas.microsoft.com/office/spreadsheetml/2017/richdata2" ref="A2:F18">
    <sortCondition descending="1" ref="E1:E18"/>
  </sortState>
  <tableColumns count="6">
    <tableColumn id="1" xr3:uid="{E4993565-B33F-4537-BE29-99845A8D4AD6}" uniqueName="1" name="Sub-Category" queryTableFieldId="1" dataDxfId="20"/>
    <tableColumn id="2" xr3:uid="{E909225D-6211-4D0A-B978-342EA9AEBDBA}" uniqueName="2" name="Category" queryTableFieldId="2" dataDxfId="19"/>
    <tableColumn id="3" xr3:uid="{1546A2BA-B02E-4486-AADB-DEB79F131F73}" uniqueName="3" name="total_revenue" queryTableFieldId="3"/>
    <tableColumn id="4" xr3:uid="{1A09809F-1B08-4994-8CF7-232E4E88A933}" uniqueName="4" name="total_profit" queryTableFieldId="4"/>
    <tableColumn id="5" xr3:uid="{819C72E3-C203-40C8-9E67-B6A2063737E4}" uniqueName="5" name="profit_margin" queryTableFieldId="5"/>
    <tableColumn id="6" xr3:uid="{A4EB3025-5E7D-48FE-8992-099752373A39}" uniqueName="6" name="product_subcategory_contribution_pct"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998FD6-1D34-4A15-8E30-CF79E3B84198}" name="_03_cateogry_analysis" displayName="_03_cateogry_analysis" ref="A1:E4" tableType="queryTable" totalsRowShown="0">
  <autoFilter ref="A1:E4" xr:uid="{AA998FD6-1D34-4A15-8E30-CF79E3B84198}"/>
  <tableColumns count="5">
    <tableColumn id="1" xr3:uid="{E39E323E-D9E4-4547-A868-1C0178A8ECB5}" uniqueName="1" name="Category" queryTableFieldId="1" dataDxfId="18"/>
    <tableColumn id="2" xr3:uid="{173C167A-EE02-4189-808C-995D06AEEAFF}" uniqueName="2" name="total_revenue" queryTableFieldId="2"/>
    <tableColumn id="3" xr3:uid="{A94CDE92-E1AC-4CEF-BF6E-C27B195392A6}" uniqueName="3" name="total_profit" queryTableFieldId="3"/>
    <tableColumn id="4" xr3:uid="{C20D7C49-BA62-4DAE-9CCB-9AE1135082A7}" uniqueName="4" name="profit_margin" queryTableFieldId="4"/>
    <tableColumn id="5" xr3:uid="{6DC09E4D-8625-413A-8DBC-A7B7AE0FBFAB}" uniqueName="5" name="product_category_contribution_pct"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4D6A9D-3EB6-4944-95D0-7C71F6A28237}" name="_02_analysis_time_series" displayName="_02_analysis_time_series" ref="A1:G5" tableType="queryTable" totalsRowShown="0">
  <autoFilter ref="A1:G5" xr:uid="{FF4D6A9D-3EB6-4944-95D0-7C71F6A28237}"/>
  <tableColumns count="7">
    <tableColumn id="1" xr3:uid="{23378EA5-7D45-42FB-B3EA-7EDEE5759C17}" uniqueName="1" name="year" queryTableFieldId="1"/>
    <tableColumn id="2" xr3:uid="{35192C2E-BDC0-47D8-B765-B73D62F68A95}" uniqueName="2" name="total_revenue" queryTableFieldId="2"/>
    <tableColumn id="3" xr3:uid="{7F41EE28-AF34-4EEC-91B7-8285461DB26A}" uniqueName="3" name="total_profit" queryTableFieldId="3"/>
    <tableColumn id="4" xr3:uid="{AD3A9779-7C9E-420D-8F95-47DF6BA1D6B8}" uniqueName="4" name="profit_margin" queryTableFieldId="4"/>
    <tableColumn id="5" xr3:uid="{2D62A93C-E2CA-4602-8822-97C94EA49407}" uniqueName="5" name="previous_year_revenue" queryTableFieldId="5"/>
    <tableColumn id="6" xr3:uid="{AFB1DE63-13E0-4815-ADD8-D69E4AA66D67}" uniqueName="6" name="revenue_change_pct" queryTableFieldId="6"/>
    <tableColumn id="7" xr3:uid="{31B82252-E3DA-4181-8FD1-0E3EDA09224D}" uniqueName="7" name="profit_change_pct" queryTableFieldId="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C7EB1C-13C5-4972-8E4D-1BB3A9B995DD}" name="_01_data_validation" displayName="_01_data_validation" ref="A1:X11" tableType="queryTable" totalsRowShown="0">
  <autoFilter ref="A1:X11" xr:uid="{53C7EB1C-13C5-4972-8E4D-1BB3A9B995DD}"/>
  <tableColumns count="24">
    <tableColumn id="1" xr3:uid="{BEC06F98-12A0-4670-96E9-80BDF55D65FD}" uniqueName="1" name="Row ID" queryTableFieldId="1"/>
    <tableColumn id="2" xr3:uid="{0E7B31CB-9D2D-4C7C-ADE1-B851E3DA3D87}" uniqueName="2" name="Order ID" queryTableFieldId="2" dataDxfId="17"/>
    <tableColumn id="3" xr3:uid="{2EBFF7CE-5EF2-411E-906C-849829E20481}" uniqueName="3" name="Order Date" queryTableFieldId="3" dataDxfId="16"/>
    <tableColumn id="4" xr3:uid="{D8D4BD14-4E0A-4713-A149-81B36861A063}" uniqueName="4" name="Ship Date" queryTableFieldId="4" dataDxfId="15"/>
    <tableColumn id="5" xr3:uid="{8B0083D0-1DA6-404E-BE68-6570DBDC2C41}" uniqueName="5" name="Ship Mode" queryTableFieldId="5" dataDxfId="14"/>
    <tableColumn id="6" xr3:uid="{A32B0A9D-BB82-41A2-8485-FEC50ABB8226}" uniqueName="6" name="Customer ID" queryTableFieldId="6" dataDxfId="13"/>
    <tableColumn id="7" xr3:uid="{8E7DA932-9684-41DC-9491-87766AB41B04}" uniqueName="7" name="Customer Name" queryTableFieldId="7" dataDxfId="12"/>
    <tableColumn id="8" xr3:uid="{2FECFFE4-12B7-46E3-96B1-7AEA11DFAFD1}" uniqueName="8" name="Segment" queryTableFieldId="8" dataDxfId="11"/>
    <tableColumn id="9" xr3:uid="{3DA9CC28-C9B8-47C9-8C68-BB2AD6943BC1}" uniqueName="9" name="City" queryTableFieldId="9" dataDxfId="10"/>
    <tableColumn id="10" xr3:uid="{73030326-22FB-401A-B178-8408923C0E6D}" uniqueName="10" name="State" queryTableFieldId="10" dataDxfId="9"/>
    <tableColumn id="11" xr3:uid="{6DC4A7B9-D3A5-4DDB-977B-E2D8391D44BC}" uniqueName="11" name="Country" queryTableFieldId="11" dataDxfId="8"/>
    <tableColumn id="12" xr3:uid="{8631C1AB-1C9B-43D4-9572-E9DF7FD7EC4F}" uniqueName="12" name="Postal Code" queryTableFieldId="12"/>
    <tableColumn id="13" xr3:uid="{7134903A-1965-48AA-B62D-863ECF364D92}" uniqueName="13" name="Market" queryTableFieldId="13" dataDxfId="7"/>
    <tableColumn id="14" xr3:uid="{118BAB69-0D3E-43F6-B40F-85E11284453C}" uniqueName="14" name="Region" queryTableFieldId="14" dataDxfId="6"/>
    <tableColumn id="15" xr3:uid="{FD89E70D-C78E-46B0-BBF4-D40ACAA15189}" uniqueName="15" name="Product ID" queryTableFieldId="15" dataDxfId="5"/>
    <tableColumn id="16" xr3:uid="{8D390276-08EB-42F4-B039-B2DC6F325515}" uniqueName="16" name="Category" queryTableFieldId="16" dataDxfId="4"/>
    <tableColumn id="17" xr3:uid="{91AA606A-7F27-4379-9865-0F097A434D8F}" uniqueName="17" name="Sub-Category" queryTableFieldId="17" dataDxfId="3"/>
    <tableColumn id="18" xr3:uid="{4FFE4BED-8CF6-411B-8B47-4050C6E5091D}" uniqueName="18" name="Product Name" queryTableFieldId="18" dataDxfId="2"/>
    <tableColumn id="19" xr3:uid="{5A67E31F-90AD-4FB2-B550-4424CB2814EE}" uniqueName="19" name="Sales" queryTableFieldId="19"/>
    <tableColumn id="20" xr3:uid="{6EFEDAE0-D87F-4EE5-B401-85600BB3F756}" uniqueName="20" name="Quantity" queryTableFieldId="20"/>
    <tableColumn id="21" xr3:uid="{9E14C5B8-088D-4F3A-B9F7-9FE85B2560B5}" uniqueName="21" name="Discount" queryTableFieldId="21"/>
    <tableColumn id="22" xr3:uid="{E5A44698-632F-44E5-A02C-BCDDA1EC83F9}" uniqueName="22" name="Profit" queryTableFieldId="22"/>
    <tableColumn id="23" xr3:uid="{CDE43404-B504-4D08-B486-9364131067B8}" uniqueName="23" name="Shipping Cost" queryTableFieldId="23"/>
    <tableColumn id="24" xr3:uid="{D51DB19A-0A96-47FE-BFEC-1F08E1D72C9E}" uniqueName="24" name="Order Priority" queryTableFieldId="24" dataDxfId="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F6D82-0449-4C8F-A1CE-43FF6B7EE18D}" name="processed" displayName="processed" ref="A1:G4" tableType="queryTable" totalsRowShown="0">
  <autoFilter ref="A1:G4" xr:uid="{1D9F6D82-0449-4C8F-A1CE-43FF6B7EE18D}"/>
  <tableColumns count="7">
    <tableColumn id="1" xr3:uid="{86C0837C-9721-418A-AE21-56A379B15AC4}" uniqueName="1" name="product_category" queryTableFieldId="1" dataDxfId="0"/>
    <tableColumn id="2" xr3:uid="{0E2781C8-2CBD-4590-9B9F-729AE110B430}" uniqueName="2" name="total_revenue" queryTableFieldId="2"/>
    <tableColumn id="3" xr3:uid="{DA95CEA0-5832-48F5-8D2B-AFE29096C517}" uniqueName="3" name="total_profit" queryTableFieldId="3"/>
    <tableColumn id="4" xr3:uid="{296A78E5-D278-48B8-A61A-18B0B78BD6D8}" uniqueName="4" name="profit_margin" queryTableFieldId="4"/>
    <tableColumn id="5" xr3:uid="{5FD5CCF2-54A6-4421-95EA-780A7511657E}" uniqueName="5" name="revenue_share_pct" queryTableFieldId="5"/>
    <tableColumn id="6" xr3:uid="{E3C0F76A-30F0-47FE-807B-7215A3808FE1}" uniqueName="6" name="profit_contribution_pct" queryTableFieldId="6"/>
    <tableColumn id="7" xr3:uid="{EAB29D79-CBE2-4BCD-9BEE-E6993944ED77}" uniqueName="7" name="profit_vs_revenue_gap"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DB9F-28AD-4207-8D30-C70F7128460B}">
  <sheetPr codeName="Sheet14">
    <tabColor rgb="FF1F4E3D"/>
  </sheetPr>
  <dimension ref="B2:R25"/>
  <sheetViews>
    <sheetView showGridLines="0" tabSelected="1" zoomScale="59" zoomScaleNormal="59" workbookViewId="0">
      <selection activeCell="D3" sqref="D3"/>
    </sheetView>
  </sheetViews>
  <sheetFormatPr defaultRowHeight="14.5" x14ac:dyDescent="0.35"/>
  <cols>
    <col min="1" max="1" width="8.7265625" style="31"/>
    <col min="2" max="2" width="29.1796875" style="31" customWidth="1"/>
    <col min="3" max="3" width="1.7265625" style="31" customWidth="1"/>
    <col min="4" max="16384" width="8.7265625" style="31"/>
  </cols>
  <sheetData>
    <row r="2" spans="2:18" x14ac:dyDescent="0.35">
      <c r="B2" s="37"/>
      <c r="C2" s="37"/>
      <c r="D2" s="37"/>
      <c r="E2" s="37"/>
      <c r="F2" s="37"/>
      <c r="G2" s="37"/>
      <c r="H2" s="37"/>
      <c r="I2" s="37"/>
      <c r="J2" s="37"/>
      <c r="K2" s="37"/>
      <c r="L2" s="37"/>
      <c r="M2" s="37"/>
      <c r="N2" s="37"/>
      <c r="O2" s="37"/>
      <c r="P2" s="37"/>
      <c r="Q2" s="37"/>
      <c r="R2" s="37"/>
    </row>
    <row r="3" spans="2:18" ht="26" x14ac:dyDescent="0.35">
      <c r="B3" s="37"/>
      <c r="C3" s="37"/>
      <c r="D3" s="49" t="s">
        <v>327</v>
      </c>
      <c r="E3" s="37"/>
      <c r="F3" s="37"/>
      <c r="G3" s="37"/>
      <c r="H3" s="37"/>
      <c r="I3" s="37"/>
      <c r="J3" s="37"/>
      <c r="K3" s="37"/>
      <c r="L3" s="37"/>
      <c r="M3" s="37"/>
      <c r="N3" s="37"/>
      <c r="O3" s="37"/>
      <c r="P3" s="37"/>
      <c r="Q3" s="37"/>
      <c r="R3" s="37"/>
    </row>
    <row r="4" spans="2:18" x14ac:dyDescent="0.35">
      <c r="B4" s="37"/>
      <c r="C4" s="37"/>
      <c r="D4" s="37"/>
      <c r="E4" s="37"/>
      <c r="F4" s="37"/>
      <c r="G4" s="37"/>
      <c r="H4" s="37"/>
      <c r="I4" s="37"/>
      <c r="J4" s="37"/>
      <c r="K4" s="37"/>
      <c r="L4" s="37"/>
      <c r="M4" s="37"/>
      <c r="N4" s="37"/>
      <c r="O4" s="37"/>
      <c r="P4" s="37"/>
      <c r="Q4" s="37"/>
      <c r="R4" s="37"/>
    </row>
    <row r="5" spans="2:18" ht="18.5" x14ac:dyDescent="0.35">
      <c r="B5" s="37"/>
      <c r="C5" s="37"/>
      <c r="D5" s="38" t="s">
        <v>204</v>
      </c>
      <c r="E5" s="37"/>
      <c r="F5" s="37"/>
      <c r="G5" s="37"/>
      <c r="H5" s="37"/>
      <c r="I5" s="37"/>
      <c r="J5" s="37"/>
      <c r="K5" s="37"/>
      <c r="L5" s="37"/>
      <c r="M5" s="37"/>
      <c r="N5" s="37"/>
      <c r="O5" s="37"/>
      <c r="P5" s="37"/>
      <c r="Q5" s="37"/>
      <c r="R5" s="37"/>
    </row>
    <row r="6" spans="2:18" x14ac:dyDescent="0.35">
      <c r="B6" s="37"/>
      <c r="C6" s="37"/>
      <c r="D6" s="37"/>
      <c r="E6" s="37"/>
      <c r="F6" s="37"/>
      <c r="G6" s="37"/>
      <c r="H6" s="37"/>
      <c r="I6" s="37"/>
      <c r="J6" s="37"/>
      <c r="K6" s="37"/>
      <c r="L6" s="37"/>
      <c r="M6" s="37"/>
      <c r="N6" s="37"/>
      <c r="O6" s="37"/>
      <c r="P6" s="37"/>
      <c r="Q6" s="37"/>
      <c r="R6" s="37"/>
    </row>
    <row r="7" spans="2:18" x14ac:dyDescent="0.35">
      <c r="B7" s="37"/>
      <c r="C7" s="37"/>
      <c r="D7" s="37"/>
      <c r="E7" s="37"/>
      <c r="F7" s="37"/>
      <c r="G7" s="37"/>
      <c r="H7" s="37"/>
      <c r="I7" s="37"/>
      <c r="J7" s="37"/>
      <c r="K7" s="37"/>
      <c r="L7" s="37"/>
      <c r="M7" s="37"/>
      <c r="N7" s="37"/>
      <c r="O7" s="37"/>
      <c r="P7" s="37"/>
      <c r="Q7" s="37"/>
      <c r="R7" s="37"/>
    </row>
    <row r="9" spans="2:18" x14ac:dyDescent="0.35">
      <c r="B9" s="39"/>
      <c r="C9" s="39"/>
      <c r="D9" s="39"/>
      <c r="E9" s="39"/>
      <c r="F9" s="39"/>
      <c r="G9" s="39"/>
      <c r="H9" s="39"/>
      <c r="I9" s="39"/>
      <c r="J9" s="39"/>
      <c r="K9" s="39"/>
      <c r="L9" s="39"/>
      <c r="M9" s="39"/>
      <c r="N9" s="39"/>
      <c r="O9" s="39"/>
      <c r="P9" s="39"/>
      <c r="Q9" s="39"/>
      <c r="R9" s="39"/>
    </row>
    <row r="10" spans="2:18" ht="20.5" customHeight="1" x14ac:dyDescent="0.35">
      <c r="B10" s="34" t="s">
        <v>198</v>
      </c>
      <c r="C10" s="35"/>
      <c r="D10" s="135" t="s">
        <v>208</v>
      </c>
      <c r="E10" s="135"/>
      <c r="F10" s="135"/>
      <c r="G10" s="135"/>
      <c r="H10" s="135"/>
      <c r="I10" s="135"/>
      <c r="J10" s="135"/>
      <c r="K10" s="135"/>
      <c r="L10" s="135"/>
      <c r="M10" s="135"/>
      <c r="N10" s="135"/>
      <c r="O10" s="135"/>
      <c r="P10" s="135"/>
      <c r="Q10" s="135"/>
      <c r="R10" s="135"/>
    </row>
    <row r="11" spans="2:18" ht="14.5" customHeight="1" x14ac:dyDescent="0.35">
      <c r="B11" s="36"/>
      <c r="C11" s="36"/>
      <c r="D11" s="36"/>
      <c r="E11" s="36"/>
      <c r="F11" s="36"/>
      <c r="G11" s="36"/>
      <c r="H11" s="36"/>
      <c r="I11" s="36"/>
      <c r="J11" s="36"/>
      <c r="K11" s="36"/>
      <c r="L11" s="36"/>
      <c r="M11" s="36"/>
      <c r="N11" s="36"/>
      <c r="O11" s="36"/>
      <c r="P11" s="36"/>
      <c r="Q11" s="36"/>
      <c r="R11" s="36"/>
    </row>
    <row r="12" spans="2:18" ht="36.5" customHeight="1" x14ac:dyDescent="0.35">
      <c r="B12" s="34" t="s">
        <v>200</v>
      </c>
      <c r="C12" s="35"/>
      <c r="D12" s="135" t="s">
        <v>206</v>
      </c>
      <c r="E12" s="135"/>
      <c r="F12" s="135"/>
      <c r="G12" s="135"/>
      <c r="H12" s="135"/>
      <c r="I12" s="135"/>
      <c r="J12" s="135"/>
      <c r="K12" s="135"/>
      <c r="L12" s="135"/>
      <c r="M12" s="135"/>
      <c r="N12" s="135"/>
      <c r="O12" s="135"/>
      <c r="P12" s="135"/>
      <c r="Q12" s="135"/>
      <c r="R12" s="135"/>
    </row>
    <row r="13" spans="2:18" ht="18.5" x14ac:dyDescent="0.35">
      <c r="B13" s="36"/>
      <c r="C13" s="36"/>
      <c r="D13" s="36"/>
      <c r="E13" s="36"/>
      <c r="F13" s="36"/>
      <c r="G13" s="36"/>
      <c r="H13" s="36"/>
      <c r="I13" s="36"/>
      <c r="J13" s="36"/>
      <c r="K13" s="36"/>
      <c r="L13" s="36"/>
      <c r="M13" s="36"/>
      <c r="N13" s="36"/>
      <c r="O13" s="36"/>
      <c r="P13" s="36"/>
      <c r="Q13" s="36"/>
      <c r="R13" s="36"/>
    </row>
    <row r="14" spans="2:18" ht="18.5" x14ac:dyDescent="0.35">
      <c r="B14" s="36"/>
      <c r="C14" s="36"/>
      <c r="D14" s="36"/>
      <c r="E14" s="36"/>
      <c r="F14" s="36"/>
      <c r="G14" s="36"/>
      <c r="H14" s="36"/>
      <c r="I14" s="36"/>
      <c r="J14" s="36"/>
      <c r="K14" s="36"/>
      <c r="L14" s="36"/>
      <c r="M14" s="36"/>
      <c r="N14" s="36"/>
      <c r="O14" s="36"/>
      <c r="P14" s="36"/>
      <c r="Q14" s="36"/>
      <c r="R14" s="36"/>
    </row>
    <row r="15" spans="2:18" ht="18.5" x14ac:dyDescent="0.35">
      <c r="B15" s="40"/>
      <c r="C15" s="40"/>
      <c r="D15" s="40"/>
      <c r="E15" s="40"/>
      <c r="F15" s="40"/>
      <c r="G15" s="40"/>
      <c r="H15" s="40"/>
      <c r="I15" s="40"/>
      <c r="J15" s="40"/>
      <c r="K15" s="40"/>
      <c r="L15" s="40"/>
      <c r="M15" s="40"/>
      <c r="N15" s="40"/>
      <c r="O15" s="40"/>
      <c r="P15" s="40"/>
      <c r="Q15" s="40"/>
      <c r="R15" s="40"/>
    </row>
    <row r="16" spans="2:18" ht="19" thickBot="1" x14ac:dyDescent="0.4">
      <c r="B16" s="41"/>
      <c r="C16" s="41"/>
      <c r="D16" s="41"/>
      <c r="E16" s="41"/>
      <c r="F16" s="41"/>
      <c r="G16" s="41"/>
      <c r="H16" s="41"/>
      <c r="I16" s="41"/>
      <c r="J16" s="41"/>
      <c r="K16" s="41"/>
      <c r="L16" s="41"/>
      <c r="M16" s="41"/>
      <c r="N16" s="41"/>
      <c r="O16" s="41"/>
      <c r="P16" s="41"/>
      <c r="Q16" s="41"/>
      <c r="R16" s="41"/>
    </row>
    <row r="17" spans="2:18" ht="19" thickTop="1" x14ac:dyDescent="0.35">
      <c r="B17" s="42"/>
      <c r="C17" s="43"/>
      <c r="D17" s="43"/>
      <c r="E17" s="43"/>
      <c r="F17" s="43"/>
      <c r="G17" s="43"/>
      <c r="H17" s="43"/>
      <c r="I17" s="43"/>
      <c r="J17" s="43"/>
      <c r="K17" s="43"/>
      <c r="L17" s="43"/>
      <c r="M17" s="43"/>
      <c r="N17" s="43"/>
      <c r="O17" s="43"/>
      <c r="P17" s="43"/>
      <c r="Q17" s="43"/>
      <c r="R17" s="44"/>
    </row>
    <row r="18" spans="2:18" ht="20.5" x14ac:dyDescent="0.35">
      <c r="B18" s="45" t="s">
        <v>201</v>
      </c>
      <c r="C18" s="41"/>
      <c r="D18" s="136" t="s">
        <v>202</v>
      </c>
      <c r="E18" s="137"/>
      <c r="F18" s="137"/>
      <c r="G18" s="137"/>
      <c r="H18" s="41"/>
      <c r="I18" s="41" t="s">
        <v>297</v>
      </c>
      <c r="J18" s="41"/>
      <c r="K18" s="41"/>
      <c r="L18" s="41"/>
      <c r="M18" s="41"/>
      <c r="N18" s="41"/>
      <c r="O18" s="41"/>
      <c r="P18" s="41"/>
      <c r="Q18" s="41"/>
      <c r="R18" s="46"/>
    </row>
    <row r="19" spans="2:18" ht="18.5" x14ac:dyDescent="0.35">
      <c r="B19" s="47"/>
      <c r="C19" s="41"/>
      <c r="D19" s="41"/>
      <c r="E19" s="41"/>
      <c r="F19" s="41"/>
      <c r="G19" s="41"/>
      <c r="H19" s="41"/>
      <c r="I19" s="41"/>
      <c r="J19" s="41"/>
      <c r="K19" s="41"/>
      <c r="L19" s="41"/>
      <c r="M19" s="41"/>
      <c r="N19" s="41"/>
      <c r="O19" s="41"/>
      <c r="P19" s="41"/>
      <c r="Q19" s="41"/>
      <c r="R19" s="46"/>
    </row>
    <row r="20" spans="2:18" ht="20.5" customHeight="1" x14ac:dyDescent="0.35">
      <c r="B20" s="45" t="s">
        <v>207</v>
      </c>
      <c r="C20" s="41"/>
      <c r="D20" s="133" t="s">
        <v>295</v>
      </c>
      <c r="E20" s="133"/>
      <c r="F20" s="133"/>
      <c r="G20" s="133"/>
      <c r="H20" s="133"/>
      <c r="I20" s="133"/>
      <c r="J20" s="133"/>
      <c r="K20" s="133"/>
      <c r="L20" s="133"/>
      <c r="M20" s="133"/>
      <c r="N20" s="133"/>
      <c r="O20" s="133"/>
      <c r="P20" s="133"/>
      <c r="Q20" s="133"/>
      <c r="R20" s="134"/>
    </row>
    <row r="21" spans="2:18" ht="20.5" customHeight="1" x14ac:dyDescent="0.35">
      <c r="B21" s="47"/>
      <c r="C21" s="41"/>
      <c r="D21" s="133" t="s">
        <v>326</v>
      </c>
      <c r="E21" s="133"/>
      <c r="F21" s="133"/>
      <c r="G21" s="133"/>
      <c r="H21" s="133"/>
      <c r="I21" s="133"/>
      <c r="J21" s="133"/>
      <c r="K21" s="133"/>
      <c r="L21" s="133"/>
      <c r="M21" s="133"/>
      <c r="N21" s="133"/>
      <c r="O21" s="133"/>
      <c r="P21" s="133"/>
      <c r="Q21" s="133"/>
      <c r="R21" s="134"/>
    </row>
    <row r="22" spans="2:18" ht="20.5" customHeight="1" x14ac:dyDescent="0.35">
      <c r="B22" s="47"/>
      <c r="C22" s="41"/>
      <c r="D22" s="133" t="s">
        <v>296</v>
      </c>
      <c r="E22" s="133"/>
      <c r="F22" s="133"/>
      <c r="G22" s="133"/>
      <c r="H22" s="133"/>
      <c r="I22" s="133"/>
      <c r="J22" s="133"/>
      <c r="K22" s="133"/>
      <c r="L22" s="133"/>
      <c r="M22" s="133"/>
      <c r="N22" s="133"/>
      <c r="O22" s="133"/>
      <c r="P22" s="133"/>
      <c r="Q22" s="133"/>
      <c r="R22" s="134"/>
    </row>
    <row r="23" spans="2:18" ht="15" customHeight="1" x14ac:dyDescent="0.35">
      <c r="B23" s="47"/>
      <c r="C23" s="41"/>
      <c r="D23" s="41"/>
      <c r="E23" s="41"/>
      <c r="F23" s="41"/>
      <c r="G23" s="41"/>
      <c r="H23" s="41"/>
      <c r="I23" s="41"/>
      <c r="J23" s="41"/>
      <c r="K23" s="41"/>
      <c r="L23" s="41"/>
      <c r="M23" s="41"/>
      <c r="N23" s="41"/>
      <c r="O23" s="41"/>
      <c r="P23" s="41"/>
      <c r="Q23" s="41"/>
      <c r="R23" s="46"/>
    </row>
    <row r="24" spans="2:18" ht="15" thickBot="1" x14ac:dyDescent="0.4">
      <c r="B24" s="48"/>
      <c r="C24" s="32"/>
      <c r="D24" s="32"/>
      <c r="E24" s="32"/>
      <c r="F24" s="32"/>
      <c r="G24" s="32"/>
      <c r="H24" s="32"/>
      <c r="I24" s="32"/>
      <c r="J24" s="32"/>
      <c r="K24" s="32"/>
      <c r="L24" s="32"/>
      <c r="M24" s="32"/>
      <c r="N24" s="32"/>
      <c r="O24" s="32"/>
      <c r="P24" s="32"/>
      <c r="Q24" s="32"/>
      <c r="R24" s="33"/>
    </row>
    <row r="25" spans="2:18" ht="15" thickTop="1" x14ac:dyDescent="0.35"/>
  </sheetData>
  <mergeCells count="6">
    <mergeCell ref="D20:R20"/>
    <mergeCell ref="D21:R21"/>
    <mergeCell ref="D22:R22"/>
    <mergeCell ref="D10:R10"/>
    <mergeCell ref="D12:R12"/>
    <mergeCell ref="D18:G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8EAAF-7C13-44B8-B0EB-525AEF7FC5C5}">
  <sheetPr codeName="Sheet15">
    <tabColor rgb="FF1F4E3D"/>
  </sheetPr>
  <dimension ref="A1:S163"/>
  <sheetViews>
    <sheetView showGridLines="0" topLeftCell="A114" zoomScale="59" zoomScaleNormal="59" workbookViewId="0">
      <selection activeCell="B139" sqref="B139:L144"/>
    </sheetView>
  </sheetViews>
  <sheetFormatPr defaultRowHeight="16.5" x14ac:dyDescent="0.45"/>
  <cols>
    <col min="1" max="1" width="8.7265625" style="7"/>
    <col min="2" max="2" width="8.7265625" style="70" customWidth="1"/>
    <col min="3" max="4" width="8.7265625" style="8"/>
    <col min="5" max="5" width="8.7265625" style="7"/>
    <col min="6" max="6" width="9.1796875" style="7" bestFit="1" customWidth="1"/>
    <col min="7" max="7" width="11.54296875" style="7" bestFit="1" customWidth="1"/>
    <col min="8" max="12" width="16.6328125" style="7" customWidth="1"/>
    <col min="13" max="16384" width="8.7265625" style="7"/>
  </cols>
  <sheetData>
    <row r="1" spans="1:19" ht="46.5" customHeight="1" x14ac:dyDescent="0.45">
      <c r="A1" s="10" t="s">
        <v>217</v>
      </c>
      <c r="B1" s="69" t="s">
        <v>247</v>
      </c>
      <c r="C1" s="50"/>
      <c r="D1" s="50"/>
      <c r="E1" s="51"/>
      <c r="F1" s="51"/>
      <c r="G1" s="51"/>
      <c r="H1" s="51"/>
      <c r="I1" s="51"/>
      <c r="J1" s="51"/>
      <c r="K1" s="51"/>
      <c r="L1" s="51"/>
    </row>
    <row r="3" spans="1:19" x14ac:dyDescent="0.45">
      <c r="A3" s="10" t="s">
        <v>217</v>
      </c>
      <c r="B3" s="71" t="s">
        <v>194</v>
      </c>
      <c r="C3" s="52"/>
      <c r="D3" s="52"/>
      <c r="E3" s="53"/>
      <c r="F3" s="53"/>
      <c r="G3" s="53"/>
      <c r="H3" s="53"/>
      <c r="I3" s="53"/>
      <c r="J3" s="53"/>
      <c r="K3" s="53"/>
      <c r="L3" s="53"/>
      <c r="M3" s="54"/>
      <c r="N3" s="54"/>
      <c r="O3" s="54"/>
      <c r="P3" s="54"/>
      <c r="Q3" s="54"/>
      <c r="R3" s="54"/>
      <c r="S3" s="54"/>
    </row>
    <row r="4" spans="1:19" x14ac:dyDescent="0.45">
      <c r="C4" s="7"/>
      <c r="D4" s="7"/>
    </row>
    <row r="5" spans="1:19" ht="17" thickBot="1" x14ac:dyDescent="0.5">
      <c r="B5" s="68" t="s">
        <v>226</v>
      </c>
      <c r="C5" s="7"/>
      <c r="D5" s="7"/>
      <c r="I5" s="101" t="s">
        <v>187</v>
      </c>
      <c r="J5" s="101" t="s">
        <v>192</v>
      </c>
      <c r="K5" s="101" t="s">
        <v>193</v>
      </c>
      <c r="L5" s="101" t="s">
        <v>256</v>
      </c>
    </row>
    <row r="6" spans="1:19" x14ac:dyDescent="0.45">
      <c r="B6" s="7"/>
      <c r="C6" s="7"/>
      <c r="D6" s="7"/>
    </row>
    <row r="7" spans="1:19" x14ac:dyDescent="0.45">
      <c r="B7" s="72" t="s">
        <v>195</v>
      </c>
      <c r="C7" s="7"/>
      <c r="D7" s="7">
        <v>3</v>
      </c>
    </row>
    <row r="8" spans="1:19" x14ac:dyDescent="0.45">
      <c r="C8" s="7"/>
      <c r="D8" s="7"/>
    </row>
    <row r="9" spans="1:19" x14ac:dyDescent="0.45">
      <c r="B9" s="7"/>
      <c r="C9" s="7"/>
      <c r="D9" s="7"/>
    </row>
    <row r="10" spans="1:19" x14ac:dyDescent="0.45">
      <c r="B10" s="72" t="s">
        <v>219</v>
      </c>
      <c r="C10" s="7"/>
      <c r="D10" s="7"/>
      <c r="I10" s="79">
        <f>I90</f>
        <v>0.08</v>
      </c>
      <c r="J10" s="80">
        <f>J90</f>
        <v>0.08</v>
      </c>
      <c r="K10" s="80">
        <f>K90</f>
        <v>0.08</v>
      </c>
      <c r="L10" s="81">
        <f>L90</f>
        <v>0.08</v>
      </c>
    </row>
    <row r="11" spans="1:19" x14ac:dyDescent="0.45">
      <c r="B11" s="7"/>
      <c r="C11" s="7"/>
      <c r="D11" s="7"/>
    </row>
    <row r="12" spans="1:19" x14ac:dyDescent="0.45">
      <c r="B12" s="7"/>
      <c r="C12" s="7"/>
      <c r="D12" s="7"/>
    </row>
    <row r="13" spans="1:19" x14ac:dyDescent="0.45">
      <c r="B13" s="72" t="s">
        <v>215</v>
      </c>
      <c r="C13" s="7"/>
      <c r="D13" s="7"/>
      <c r="I13" s="79">
        <f>I96</f>
        <v>0.122</v>
      </c>
      <c r="J13" s="80">
        <f>J96</f>
        <v>0.122</v>
      </c>
      <c r="K13" s="80">
        <f>K96</f>
        <v>0.122</v>
      </c>
      <c r="L13" s="81">
        <f>L96</f>
        <v>0.122</v>
      </c>
    </row>
    <row r="14" spans="1:19" x14ac:dyDescent="0.45">
      <c r="B14" s="7"/>
      <c r="C14" s="7"/>
      <c r="D14" s="7"/>
    </row>
    <row r="15" spans="1:19" x14ac:dyDescent="0.45">
      <c r="B15" s="7"/>
      <c r="C15" s="7"/>
      <c r="D15" s="7"/>
    </row>
    <row r="16" spans="1:19" x14ac:dyDescent="0.45">
      <c r="B16" s="72" t="s">
        <v>223</v>
      </c>
      <c r="C16" s="7"/>
      <c r="D16" s="7"/>
      <c r="I16" s="79">
        <f>I102</f>
        <v>0.02</v>
      </c>
      <c r="J16" s="80">
        <f>J102</f>
        <v>0.02</v>
      </c>
      <c r="K16" s="80">
        <f>K102</f>
        <v>0.02</v>
      </c>
      <c r="L16" s="81">
        <f>L102</f>
        <v>0.02</v>
      </c>
    </row>
    <row r="17" spans="1:12" x14ac:dyDescent="0.45">
      <c r="B17" s="7"/>
      <c r="C17" s="7"/>
      <c r="D17" s="7"/>
    </row>
    <row r="18" spans="1:12" x14ac:dyDescent="0.45">
      <c r="B18" s="7"/>
      <c r="C18" s="7"/>
      <c r="D18" s="7"/>
    </row>
    <row r="19" spans="1:12" x14ac:dyDescent="0.45">
      <c r="A19" s="10"/>
      <c r="B19" s="72" t="s">
        <v>224</v>
      </c>
      <c r="C19" s="7"/>
      <c r="D19" s="7"/>
      <c r="I19" s="79">
        <f>I108</f>
        <v>0.25</v>
      </c>
      <c r="J19" s="80">
        <f>J108</f>
        <v>0.25</v>
      </c>
      <c r="K19" s="80">
        <f>K108</f>
        <v>0.25</v>
      </c>
      <c r="L19" s="81">
        <f>L108</f>
        <v>0.25</v>
      </c>
    </row>
    <row r="20" spans="1:12" x14ac:dyDescent="0.45">
      <c r="B20" s="7"/>
      <c r="C20" s="7"/>
      <c r="D20" s="7"/>
    </row>
    <row r="22" spans="1:12" x14ac:dyDescent="0.45">
      <c r="A22" s="7" t="s">
        <v>217</v>
      </c>
      <c r="B22" s="71" t="s">
        <v>209</v>
      </c>
      <c r="C22" s="52"/>
      <c r="D22" s="52"/>
      <c r="E22" s="53"/>
      <c r="F22" s="53"/>
      <c r="G22" s="53"/>
      <c r="H22" s="53"/>
      <c r="I22" s="53"/>
      <c r="J22" s="53"/>
      <c r="K22" s="53"/>
      <c r="L22" s="53"/>
    </row>
    <row r="24" spans="1:12" ht="17" thickBot="1" x14ac:dyDescent="0.5">
      <c r="B24" s="68" t="s">
        <v>226</v>
      </c>
      <c r="I24" s="58" t="s">
        <v>210</v>
      </c>
      <c r="J24" s="58" t="s">
        <v>184</v>
      </c>
      <c r="K24" s="58" t="s">
        <v>185</v>
      </c>
      <c r="L24" s="58" t="s">
        <v>186</v>
      </c>
    </row>
    <row r="26" spans="1:12" x14ac:dyDescent="0.45">
      <c r="B26" s="74" t="s">
        <v>183</v>
      </c>
      <c r="C26" s="11"/>
      <c r="D26" s="11"/>
      <c r="E26" s="12"/>
      <c r="F26" s="12"/>
      <c r="G26" s="12"/>
      <c r="H26" s="12"/>
      <c r="I26" s="64">
        <f>'02_analysis_time_series'!B2</f>
        <v>2259450.9</v>
      </c>
      <c r="J26" s="64">
        <f>'02_analysis_time_series'!B3</f>
        <v>2677438.69</v>
      </c>
      <c r="K26" s="64">
        <f>'02_analysis_time_series'!B4</f>
        <v>3405746.45</v>
      </c>
      <c r="L26" s="64">
        <f>'02_analysis_time_series'!B5</f>
        <v>4299865.87</v>
      </c>
    </row>
    <row r="27" spans="1:12" x14ac:dyDescent="0.45">
      <c r="B27" s="75" t="s">
        <v>211</v>
      </c>
      <c r="I27" s="9">
        <f>(I26-I28)*-1</f>
        <v>-2010510.0899999999</v>
      </c>
      <c r="J27" s="9">
        <f t="shared" ref="J27:L27" si="0">(J26-J28)*-1</f>
        <v>-2370023.41</v>
      </c>
      <c r="K27" s="9">
        <f t="shared" si="0"/>
        <v>-2998811.22</v>
      </c>
      <c r="L27" s="9">
        <f t="shared" si="0"/>
        <v>-3795699.9000000004</v>
      </c>
    </row>
    <row r="28" spans="1:12" x14ac:dyDescent="0.45">
      <c r="B28" s="74" t="s">
        <v>191</v>
      </c>
      <c r="C28" s="11"/>
      <c r="D28" s="11"/>
      <c r="E28" s="12"/>
      <c r="F28" s="12"/>
      <c r="G28" s="12"/>
      <c r="H28" s="12"/>
      <c r="I28" s="62">
        <f>'02_analysis_time_series'!C2</f>
        <v>248940.81</v>
      </c>
      <c r="J28" s="62">
        <f>'02_analysis_time_series'!C3</f>
        <v>307415.28000000003</v>
      </c>
      <c r="K28" s="62">
        <f>'02_analysis_time_series'!C4</f>
        <v>406935.23</v>
      </c>
      <c r="L28" s="62">
        <f>'02_analysis_time_series'!C5</f>
        <v>504165.97</v>
      </c>
    </row>
    <row r="29" spans="1:12" x14ac:dyDescent="0.45">
      <c r="B29" s="74"/>
      <c r="C29" s="11"/>
      <c r="D29" s="11"/>
      <c r="E29" s="12"/>
      <c r="F29" s="12"/>
      <c r="G29" s="12"/>
      <c r="H29" s="12"/>
      <c r="I29" s="57"/>
      <c r="J29" s="57"/>
      <c r="K29" s="57"/>
      <c r="L29" s="57"/>
    </row>
    <row r="30" spans="1:12" x14ac:dyDescent="0.45">
      <c r="B30" s="76" t="s">
        <v>215</v>
      </c>
      <c r="C30" s="59"/>
      <c r="D30" s="59"/>
      <c r="E30" s="60"/>
      <c r="F30" s="60"/>
      <c r="G30" s="60"/>
      <c r="H30" s="60"/>
      <c r="I30" s="63">
        <f>'02_analysis_time_series'!D2/100</f>
        <v>0.11019999999999999</v>
      </c>
      <c r="J30" s="63">
        <f>'02_analysis_time_series'!D3/100</f>
        <v>0.1148</v>
      </c>
      <c r="K30" s="63">
        <f>'02_analysis_time_series'!D4/100</f>
        <v>0.1195</v>
      </c>
      <c r="L30" s="63">
        <f>'02_analysis_time_series'!D5/100</f>
        <v>0.1173</v>
      </c>
    </row>
    <row r="31" spans="1:12" x14ac:dyDescent="0.45">
      <c r="B31" s="76" t="s">
        <v>213</v>
      </c>
      <c r="C31" s="59"/>
      <c r="D31" s="59"/>
      <c r="E31" s="60"/>
      <c r="F31" s="60"/>
      <c r="G31" s="60"/>
      <c r="H31" s="60"/>
      <c r="I31" s="63">
        <f>'02_analysis_time_series'!F2/100</f>
        <v>0</v>
      </c>
      <c r="J31" s="63">
        <f>'02_analysis_time_series'!F3/100</f>
        <v>0.18</v>
      </c>
      <c r="K31" s="63">
        <f>'02_analysis_time_series'!F4/100</f>
        <v>0.27</v>
      </c>
      <c r="L31" s="63">
        <f>'02_analysis_time_series'!F5/100</f>
        <v>0.26</v>
      </c>
    </row>
    <row r="32" spans="1:12" x14ac:dyDescent="0.45">
      <c r="B32" s="76" t="s">
        <v>214</v>
      </c>
      <c r="C32" s="59"/>
      <c r="D32" s="59"/>
      <c r="E32" s="60"/>
      <c r="F32" s="60"/>
      <c r="G32" s="60"/>
      <c r="H32" s="60"/>
      <c r="I32" s="63">
        <f>'02_analysis_time_series'!G2/100</f>
        <v>0</v>
      </c>
      <c r="J32" s="63">
        <f>'02_analysis_time_series'!G3/100</f>
        <v>0.23</v>
      </c>
      <c r="K32" s="63">
        <f>'02_analysis_time_series'!G4/100</f>
        <v>0.32</v>
      </c>
      <c r="L32" s="63">
        <f>'02_analysis_time_series'!G5/100</f>
        <v>0.24</v>
      </c>
    </row>
    <row r="34" spans="1:13" x14ac:dyDescent="0.45">
      <c r="B34" s="145" t="s">
        <v>216</v>
      </c>
      <c r="C34" s="145"/>
      <c r="D34" s="145"/>
      <c r="E34" s="145"/>
      <c r="F34" s="145"/>
      <c r="G34" s="145"/>
      <c r="H34" s="145"/>
      <c r="I34" s="145"/>
      <c r="J34" s="145"/>
      <c r="K34" s="145"/>
      <c r="L34" s="145"/>
    </row>
    <row r="35" spans="1:13" x14ac:dyDescent="0.45">
      <c r="B35" s="145"/>
      <c r="C35" s="145"/>
      <c r="D35" s="145"/>
      <c r="E35" s="145"/>
      <c r="F35" s="145"/>
      <c r="G35" s="145"/>
      <c r="H35" s="145"/>
      <c r="I35" s="145"/>
      <c r="J35" s="145"/>
      <c r="K35" s="145"/>
      <c r="L35" s="145"/>
    </row>
    <row r="36" spans="1:13" x14ac:dyDescent="0.45">
      <c r="B36" s="77"/>
      <c r="C36" s="65"/>
      <c r="D36" s="65"/>
      <c r="E36" s="66"/>
      <c r="F36" s="66"/>
      <c r="G36" s="66"/>
      <c r="H36" s="66"/>
      <c r="I36" s="66"/>
      <c r="J36" s="66"/>
      <c r="K36" s="66"/>
      <c r="L36" s="66"/>
    </row>
    <row r="38" spans="1:13" x14ac:dyDescent="0.45">
      <c r="A38" s="7" t="s">
        <v>217</v>
      </c>
      <c r="B38" s="82" t="s">
        <v>225</v>
      </c>
      <c r="C38" s="83"/>
      <c r="D38" s="83"/>
      <c r="E38" s="84"/>
      <c r="F38" s="84"/>
      <c r="G38" s="84"/>
      <c r="H38" s="84"/>
      <c r="I38" s="84"/>
      <c r="J38" s="84"/>
      <c r="K38" s="84"/>
      <c r="L38" s="84"/>
    </row>
    <row r="40" spans="1:13" x14ac:dyDescent="0.45">
      <c r="A40" s="7" t="s">
        <v>217</v>
      </c>
      <c r="B40" s="71" t="s">
        <v>218</v>
      </c>
      <c r="C40" s="52"/>
      <c r="D40" s="52"/>
      <c r="E40" s="53"/>
      <c r="F40" s="53"/>
      <c r="G40" s="53"/>
      <c r="H40" s="53"/>
      <c r="I40" s="53"/>
      <c r="J40" s="53"/>
      <c r="K40" s="53"/>
      <c r="L40" s="53"/>
    </row>
    <row r="42" spans="1:13" ht="39" customHeight="1" x14ac:dyDescent="0.45">
      <c r="B42" s="68" t="s">
        <v>226</v>
      </c>
      <c r="H42" s="85" t="s">
        <v>227</v>
      </c>
      <c r="I42" s="85" t="s">
        <v>228</v>
      </c>
      <c r="J42" s="85" t="s">
        <v>215</v>
      </c>
      <c r="K42" s="85" t="s">
        <v>31</v>
      </c>
      <c r="L42" s="85" t="s">
        <v>229</v>
      </c>
      <c r="M42" s="9"/>
    </row>
    <row r="43" spans="1:13" x14ac:dyDescent="0.45">
      <c r="B43" s="7"/>
      <c r="C43" s="7"/>
      <c r="D43" s="7"/>
    </row>
    <row r="44" spans="1:13" x14ac:dyDescent="0.45">
      <c r="B44" s="72" t="s">
        <v>7</v>
      </c>
      <c r="H44" s="91">
        <f>'03_cateogry_analysis'!B2</f>
        <v>4744557.5</v>
      </c>
      <c r="I44" s="92">
        <f>H44/(SUM($H$44:$H$46))</f>
        <v>0.37528627877795884</v>
      </c>
      <c r="J44" s="92">
        <f>'03_cateogry_analysis'!D2/100</f>
        <v>0.14000000000000001</v>
      </c>
      <c r="K44" s="91">
        <f>'03_cateogry_analysis'!C2</f>
        <v>663778.73</v>
      </c>
      <c r="L44" s="92">
        <f>K44/SUM($K$44:$K$46)</f>
        <v>0.45233257488763146</v>
      </c>
    </row>
    <row r="45" spans="1:13" x14ac:dyDescent="0.45">
      <c r="B45" s="72" t="s">
        <v>8</v>
      </c>
      <c r="H45" s="91">
        <f>'03_cateogry_analysis'!B3</f>
        <v>4110874.19</v>
      </c>
      <c r="I45" s="92">
        <f t="shared" ref="I45:I46" si="1">H45/(SUM($H$44:$H$46))</f>
        <v>0.32516302675000897</v>
      </c>
      <c r="J45" s="92">
        <f>'03_cateogry_analysis'!D3/100</f>
        <v>7.0000000000000007E-2</v>
      </c>
      <c r="K45" s="91">
        <f>'03_cateogry_analysis'!C3</f>
        <v>285204.71999999997</v>
      </c>
      <c r="L45" s="92">
        <f t="shared" ref="L45:L46" si="2">K45/SUM($K$44:$K$46)</f>
        <v>0.19435299677003201</v>
      </c>
    </row>
    <row r="46" spans="1:13" x14ac:dyDescent="0.45">
      <c r="B46" s="72" t="s">
        <v>9</v>
      </c>
      <c r="H46" s="91">
        <f>'03_cateogry_analysis'!B4</f>
        <v>3787070.23</v>
      </c>
      <c r="I46" s="92">
        <f t="shared" si="1"/>
        <v>0.29955069447203214</v>
      </c>
      <c r="J46" s="92">
        <f>'03_cateogry_analysis'!D4/100</f>
        <v>0.14000000000000001</v>
      </c>
      <c r="K46" s="91">
        <f>'03_cateogry_analysis'!C4</f>
        <v>518473.83</v>
      </c>
      <c r="L46" s="92">
        <f t="shared" si="2"/>
        <v>0.35331442834233651</v>
      </c>
    </row>
    <row r="47" spans="1:13" x14ac:dyDescent="0.45">
      <c r="H47" s="12"/>
      <c r="I47" s="86"/>
      <c r="J47" s="86"/>
      <c r="K47" s="12"/>
      <c r="L47" s="12"/>
    </row>
    <row r="49" spans="1:12" x14ac:dyDescent="0.45">
      <c r="B49" s="138" t="s">
        <v>260</v>
      </c>
      <c r="C49" s="139"/>
      <c r="D49" s="139"/>
      <c r="E49" s="139"/>
      <c r="F49" s="139"/>
      <c r="G49" s="139"/>
      <c r="H49" s="139"/>
      <c r="I49" s="139"/>
      <c r="J49" s="139"/>
      <c r="K49" s="139"/>
      <c r="L49" s="140"/>
    </row>
    <row r="50" spans="1:12" x14ac:dyDescent="0.45">
      <c r="B50" s="141"/>
      <c r="C50" s="142"/>
      <c r="D50" s="142"/>
      <c r="E50" s="142"/>
      <c r="F50" s="142"/>
      <c r="G50" s="142"/>
      <c r="H50" s="142"/>
      <c r="I50" s="142"/>
      <c r="J50" s="142"/>
      <c r="K50" s="142"/>
      <c r="L50" s="143"/>
    </row>
    <row r="51" spans="1:12" x14ac:dyDescent="0.45">
      <c r="B51" s="72" t="s">
        <v>217</v>
      </c>
      <c r="C51" s="11"/>
    </row>
    <row r="54" spans="1:12" x14ac:dyDescent="0.45">
      <c r="A54" s="7" t="s">
        <v>217</v>
      </c>
      <c r="B54" s="71" t="s">
        <v>230</v>
      </c>
      <c r="C54" s="52"/>
      <c r="D54" s="52"/>
      <c r="E54" s="53"/>
      <c r="F54" s="53"/>
      <c r="G54" s="53"/>
      <c r="H54" s="53"/>
      <c r="I54" s="53"/>
      <c r="J54" s="53"/>
      <c r="K54" s="53"/>
      <c r="L54" s="53"/>
    </row>
    <row r="56" spans="1:12" ht="33" x14ac:dyDescent="0.45">
      <c r="B56" s="68" t="s">
        <v>226</v>
      </c>
      <c r="G56" s="85" t="s">
        <v>215</v>
      </c>
      <c r="H56" s="85" t="s">
        <v>231</v>
      </c>
      <c r="I56" s="85" t="s">
        <v>232</v>
      </c>
      <c r="J56" s="85" t="s">
        <v>235</v>
      </c>
      <c r="K56" s="85" t="s">
        <v>233</v>
      </c>
      <c r="L56" s="85" t="s">
        <v>234</v>
      </c>
    </row>
    <row r="58" spans="1:12" ht="49.5" x14ac:dyDescent="0.45">
      <c r="B58" s="72" t="s">
        <v>125</v>
      </c>
      <c r="G58" s="93">
        <f>'04_product_subcategory_analysis'!E18/100</f>
        <v>-0.08</v>
      </c>
      <c r="H58" s="94">
        <f>'09_unit_economics_diagnostic'!G2</f>
        <v>245.55</v>
      </c>
      <c r="I58" s="94">
        <f>'09_unit_economics_diagnostic'!H2</f>
        <v>266.33999999999997</v>
      </c>
      <c r="J58" s="94">
        <f>'09_unit_economics_diagnostic'!I2</f>
        <v>-20.79</v>
      </c>
      <c r="K58" s="93">
        <f>'09_unit_economics_diagnostic'!F2</f>
        <v>0.28999999999999998</v>
      </c>
      <c r="L58" s="89" t="str">
        <f>'09_unit_economics_diagnostic'!J2</f>
        <v>Pricing Risk-Excessive Discounting</v>
      </c>
    </row>
    <row r="61" spans="1:12" ht="16.5" customHeight="1" x14ac:dyDescent="0.45">
      <c r="B61" s="138" t="s">
        <v>238</v>
      </c>
      <c r="C61" s="139"/>
      <c r="D61" s="139"/>
      <c r="E61" s="139"/>
      <c r="F61" s="139"/>
      <c r="G61" s="139"/>
      <c r="H61" s="139"/>
      <c r="I61" s="139"/>
      <c r="J61" s="139"/>
      <c r="K61" s="139"/>
      <c r="L61" s="140"/>
    </row>
    <row r="62" spans="1:12" x14ac:dyDescent="0.45">
      <c r="B62" s="141"/>
      <c r="C62" s="142"/>
      <c r="D62" s="142"/>
      <c r="E62" s="142"/>
      <c r="F62" s="142"/>
      <c r="G62" s="142"/>
      <c r="H62" s="142"/>
      <c r="I62" s="142"/>
      <c r="J62" s="142"/>
      <c r="K62" s="142"/>
      <c r="L62" s="143"/>
    </row>
    <row r="65" spans="1:12" x14ac:dyDescent="0.45">
      <c r="B65" s="146" t="s">
        <v>236</v>
      </c>
      <c r="C65" s="146"/>
      <c r="D65" s="146"/>
      <c r="E65" s="146"/>
      <c r="F65" s="146"/>
      <c r="G65" s="146"/>
      <c r="H65" s="146"/>
      <c r="I65" s="146"/>
      <c r="J65" s="146"/>
      <c r="K65" s="146"/>
      <c r="L65" s="146"/>
    </row>
    <row r="66" spans="1:12" x14ac:dyDescent="0.45">
      <c r="B66" s="146"/>
      <c r="C66" s="146"/>
      <c r="D66" s="146"/>
      <c r="E66" s="146"/>
      <c r="F66" s="146"/>
      <c r="G66" s="146"/>
      <c r="H66" s="146"/>
      <c r="I66" s="146"/>
      <c r="J66" s="146"/>
      <c r="K66" s="146"/>
      <c r="L66" s="146"/>
    </row>
    <row r="67" spans="1:12" x14ac:dyDescent="0.45">
      <c r="B67" s="146"/>
      <c r="C67" s="146"/>
      <c r="D67" s="146"/>
      <c r="E67" s="146"/>
      <c r="F67" s="146"/>
      <c r="G67" s="146"/>
      <c r="H67" s="146"/>
      <c r="I67" s="146"/>
      <c r="J67" s="146"/>
      <c r="K67" s="146"/>
      <c r="L67" s="146"/>
    </row>
    <row r="69" spans="1:12" x14ac:dyDescent="0.45">
      <c r="A69" s="7" t="s">
        <v>217</v>
      </c>
      <c r="B69" s="71" t="s">
        <v>239</v>
      </c>
      <c r="C69" s="52"/>
      <c r="D69" s="52"/>
      <c r="E69" s="53"/>
      <c r="F69" s="53"/>
      <c r="G69" s="53"/>
      <c r="H69" s="53"/>
      <c r="I69" s="53"/>
      <c r="J69" s="53"/>
      <c r="K69" s="53"/>
      <c r="L69" s="53"/>
    </row>
    <row r="71" spans="1:12" x14ac:dyDescent="0.45">
      <c r="B71" s="68" t="s">
        <v>226</v>
      </c>
    </row>
    <row r="72" spans="1:12" x14ac:dyDescent="0.45">
      <c r="H72" s="90" t="s">
        <v>244</v>
      </c>
    </row>
    <row r="73" spans="1:12" x14ac:dyDescent="0.45">
      <c r="B73" s="72" t="s">
        <v>240</v>
      </c>
      <c r="H73" s="88" cm="1">
        <f t="array" ref="H73">_08_discount[Discount]</f>
        <v>0.14290754533047401</v>
      </c>
    </row>
    <row r="74" spans="1:12" x14ac:dyDescent="0.45">
      <c r="B74" s="72" t="s">
        <v>241</v>
      </c>
      <c r="H74" s="88">
        <v>0.1875</v>
      </c>
    </row>
    <row r="75" spans="1:12" x14ac:dyDescent="0.45">
      <c r="B75" s="72" t="s">
        <v>242</v>
      </c>
      <c r="H75" s="88">
        <v>0.14384615384615385</v>
      </c>
    </row>
    <row r="76" spans="1:12" x14ac:dyDescent="0.45">
      <c r="B76" s="72" t="s">
        <v>243</v>
      </c>
      <c r="H76" s="88">
        <v>0.13733333333333334</v>
      </c>
    </row>
    <row r="79" spans="1:12" x14ac:dyDescent="0.45">
      <c r="B79" s="138" t="s">
        <v>261</v>
      </c>
      <c r="C79" s="139"/>
      <c r="D79" s="139"/>
      <c r="E79" s="139"/>
      <c r="F79" s="139"/>
      <c r="G79" s="139"/>
      <c r="H79" s="139"/>
      <c r="I79" s="139"/>
      <c r="J79" s="139"/>
      <c r="K79" s="139"/>
      <c r="L79" s="140"/>
    </row>
    <row r="80" spans="1:12" x14ac:dyDescent="0.45">
      <c r="B80" s="141"/>
      <c r="C80" s="142"/>
      <c r="D80" s="142"/>
      <c r="E80" s="142"/>
      <c r="F80" s="142"/>
      <c r="G80" s="142"/>
      <c r="H80" s="142"/>
      <c r="I80" s="142"/>
      <c r="J80" s="142"/>
      <c r="K80" s="142"/>
      <c r="L80" s="143"/>
    </row>
    <row r="83" spans="1:12" x14ac:dyDescent="0.45">
      <c r="A83" s="7" t="s">
        <v>217</v>
      </c>
      <c r="B83" s="82" t="s">
        <v>245</v>
      </c>
      <c r="C83" s="83"/>
      <c r="D83" s="83"/>
      <c r="E83" s="84"/>
      <c r="F83" s="84"/>
      <c r="G83" s="84"/>
      <c r="H83" s="84"/>
      <c r="I83" s="84"/>
      <c r="J83" s="84"/>
      <c r="K83" s="84"/>
      <c r="L83" s="84"/>
    </row>
    <row r="85" spans="1:12" x14ac:dyDescent="0.45">
      <c r="A85" s="10" t="s">
        <v>217</v>
      </c>
      <c r="B85" s="71" t="s">
        <v>246</v>
      </c>
      <c r="C85" s="52"/>
      <c r="D85" s="52"/>
      <c r="E85" s="53"/>
      <c r="F85" s="53"/>
      <c r="G85" s="53"/>
      <c r="H85" s="53"/>
      <c r="I85" s="53"/>
      <c r="J85" s="53"/>
      <c r="K85" s="53"/>
      <c r="L85" s="53"/>
    </row>
    <row r="87" spans="1:12" ht="17" thickBot="1" x14ac:dyDescent="0.5">
      <c r="B87" s="68" t="s">
        <v>226</v>
      </c>
      <c r="I87" s="101" t="s">
        <v>187</v>
      </c>
      <c r="J87" s="101" t="s">
        <v>192</v>
      </c>
      <c r="K87" s="101" t="s">
        <v>193</v>
      </c>
      <c r="L87" s="101" t="s">
        <v>256</v>
      </c>
    </row>
    <row r="90" spans="1:12" x14ac:dyDescent="0.45">
      <c r="B90" s="72" t="s">
        <v>219</v>
      </c>
      <c r="C90" s="7"/>
      <c r="D90" s="7"/>
      <c r="I90" s="95" cm="1">
        <f t="array" ref="I90">INDEX(I92:I94,$D$7)</f>
        <v>0.08</v>
      </c>
      <c r="J90" s="96" cm="1">
        <f t="array" ref="J90">INDEX(J92:J94,$D$7)</f>
        <v>0.08</v>
      </c>
      <c r="K90" s="96" cm="1">
        <f t="array" ref="K90">INDEX(K92:K94,$D$7)</f>
        <v>0.08</v>
      </c>
      <c r="L90" s="97" cm="1">
        <f t="array" ref="L90">INDEX(L92:L94,$D$7)</f>
        <v>0.08</v>
      </c>
    </row>
    <row r="91" spans="1:12" x14ac:dyDescent="0.45">
      <c r="C91" s="7"/>
      <c r="D91" s="7"/>
    </row>
    <row r="92" spans="1:12" x14ac:dyDescent="0.45">
      <c r="B92" s="78" t="s">
        <v>220</v>
      </c>
      <c r="C92" s="7"/>
      <c r="D92" s="7"/>
      <c r="I92" s="61">
        <v>-0.05</v>
      </c>
      <c r="J92" s="61">
        <v>-0.05</v>
      </c>
      <c r="K92" s="61">
        <v>-0.05</v>
      </c>
      <c r="L92" s="61">
        <v>-0.05</v>
      </c>
    </row>
    <row r="93" spans="1:12" x14ac:dyDescent="0.45">
      <c r="B93" s="78" t="s">
        <v>221</v>
      </c>
      <c r="C93" s="7"/>
      <c r="D93" s="7"/>
      <c r="I93" s="7">
        <v>0</v>
      </c>
      <c r="J93" s="7">
        <v>0</v>
      </c>
      <c r="K93" s="7">
        <v>0</v>
      </c>
      <c r="L93" s="7">
        <v>0</v>
      </c>
    </row>
    <row r="94" spans="1:12" x14ac:dyDescent="0.45">
      <c r="B94" s="78" t="s">
        <v>222</v>
      </c>
      <c r="C94" s="7"/>
      <c r="D94" s="7"/>
      <c r="I94" s="61">
        <v>0.08</v>
      </c>
      <c r="J94" s="61">
        <v>0.08</v>
      </c>
      <c r="K94" s="61">
        <v>0.08</v>
      </c>
      <c r="L94" s="61">
        <v>0.08</v>
      </c>
    </row>
    <row r="95" spans="1:12" x14ac:dyDescent="0.45">
      <c r="C95" s="7"/>
      <c r="D95" s="7"/>
    </row>
    <row r="96" spans="1:12" x14ac:dyDescent="0.45">
      <c r="B96" s="72" t="s">
        <v>215</v>
      </c>
      <c r="C96" s="7"/>
      <c r="D96" s="7"/>
      <c r="I96" s="95" cm="1">
        <f t="array" ref="I96">INDEX(I98:I100,$D$7)</f>
        <v>0.122</v>
      </c>
      <c r="J96" s="96" cm="1">
        <f t="array" ref="J96">INDEX(J98:J100,$D$7)</f>
        <v>0.122</v>
      </c>
      <c r="K96" s="96" cm="1">
        <f t="array" ref="K96">INDEX(K98:K100,$D$7)</f>
        <v>0.122</v>
      </c>
      <c r="L96" s="97" cm="1">
        <f t="array" ref="L96">INDEX(L98:L100,$D$7)</f>
        <v>0.122</v>
      </c>
    </row>
    <row r="97" spans="2:12" x14ac:dyDescent="0.45">
      <c r="C97" s="7"/>
      <c r="D97" s="7"/>
    </row>
    <row r="98" spans="2:12" x14ac:dyDescent="0.45">
      <c r="B98" s="78" t="s">
        <v>220</v>
      </c>
      <c r="C98" s="7"/>
      <c r="D98" s="7"/>
      <c r="I98" s="61">
        <v>0.11700000000000001</v>
      </c>
      <c r="J98" s="61">
        <v>0.11700000000000001</v>
      </c>
      <c r="K98" s="61">
        <v>0.11700000000000001</v>
      </c>
      <c r="L98" s="61">
        <v>0.11700000000000001</v>
      </c>
    </row>
    <row r="99" spans="2:12" x14ac:dyDescent="0.45">
      <c r="B99" s="78" t="s">
        <v>221</v>
      </c>
      <c r="C99" s="7"/>
      <c r="D99" s="7"/>
      <c r="I99" s="61">
        <v>0.11700000000000001</v>
      </c>
      <c r="J99" s="61">
        <v>0.11700000000000001</v>
      </c>
      <c r="K99" s="61">
        <v>0.11700000000000001</v>
      </c>
      <c r="L99" s="61">
        <v>0.11700000000000001</v>
      </c>
    </row>
    <row r="100" spans="2:12" x14ac:dyDescent="0.45">
      <c r="B100" s="78" t="s">
        <v>222</v>
      </c>
      <c r="C100" s="7"/>
      <c r="D100" s="7"/>
      <c r="I100" s="61">
        <v>0.122</v>
      </c>
      <c r="J100" s="61">
        <v>0.122</v>
      </c>
      <c r="K100" s="61">
        <v>0.122</v>
      </c>
      <c r="L100" s="61">
        <v>0.122</v>
      </c>
    </row>
    <row r="102" spans="2:12" x14ac:dyDescent="0.45">
      <c r="B102" s="72" t="s">
        <v>223</v>
      </c>
      <c r="C102" s="7"/>
      <c r="D102" s="7"/>
      <c r="I102" s="95" cm="1">
        <f t="array" ref="I102">INDEX(I104:I106,$D$7)</f>
        <v>0.02</v>
      </c>
      <c r="J102" s="96" cm="1">
        <f t="array" ref="J102">INDEX(J104:J106,$D$7)</f>
        <v>0.02</v>
      </c>
      <c r="K102" s="96" cm="1">
        <f t="array" ref="K102">INDEX(K104:K106,$D$7)</f>
        <v>0.02</v>
      </c>
      <c r="L102" s="97" cm="1">
        <f t="array" ref="L102">INDEX(L104:L106,$D$7)</f>
        <v>0.02</v>
      </c>
    </row>
    <row r="103" spans="2:12" x14ac:dyDescent="0.45">
      <c r="C103" s="7"/>
      <c r="D103" s="7"/>
    </row>
    <row r="104" spans="2:12" x14ac:dyDescent="0.45">
      <c r="B104" s="78" t="s">
        <v>220</v>
      </c>
      <c r="C104" s="7"/>
      <c r="D104" s="7"/>
      <c r="I104" s="61">
        <v>0.04</v>
      </c>
      <c r="J104" s="61">
        <v>0.04</v>
      </c>
      <c r="K104" s="61">
        <v>0.04</v>
      </c>
      <c r="L104" s="61">
        <v>0.04</v>
      </c>
    </row>
    <row r="105" spans="2:12" x14ac:dyDescent="0.45">
      <c r="B105" s="78" t="s">
        <v>221</v>
      </c>
      <c r="C105" s="7"/>
      <c r="D105" s="7"/>
      <c r="I105" s="61">
        <v>0.03</v>
      </c>
      <c r="J105" s="61">
        <v>0.03</v>
      </c>
      <c r="K105" s="61">
        <v>0.03</v>
      </c>
      <c r="L105" s="61">
        <v>0.03</v>
      </c>
    </row>
    <row r="106" spans="2:12" x14ac:dyDescent="0.45">
      <c r="B106" s="78" t="s">
        <v>222</v>
      </c>
      <c r="C106" s="7"/>
      <c r="D106" s="7"/>
      <c r="I106" s="61">
        <v>0.02</v>
      </c>
      <c r="J106" s="61">
        <v>0.02</v>
      </c>
      <c r="K106" s="61">
        <v>0.02</v>
      </c>
      <c r="L106" s="61">
        <v>0.02</v>
      </c>
    </row>
    <row r="108" spans="2:12" x14ac:dyDescent="0.45">
      <c r="B108" s="72" t="s">
        <v>224</v>
      </c>
      <c r="C108" s="7"/>
      <c r="D108" s="7"/>
      <c r="I108" s="95" cm="1">
        <f t="array" ref="I108">INDEX(I110:I112,$D$7)</f>
        <v>0.25</v>
      </c>
      <c r="J108" s="96" cm="1">
        <f t="array" ref="J108">INDEX(J110:J112,$D$7)</f>
        <v>0.25</v>
      </c>
      <c r="K108" s="96" cm="1">
        <f t="array" ref="K108">INDEX(K110:K112,$D$7)</f>
        <v>0.25</v>
      </c>
      <c r="L108" s="97" cm="1">
        <f t="array" ref="L108">INDEX(L110:L112,$D$7)</f>
        <v>0.25</v>
      </c>
    </row>
    <row r="109" spans="2:12" x14ac:dyDescent="0.45">
      <c r="C109" s="7"/>
      <c r="D109" s="7"/>
    </row>
    <row r="110" spans="2:12" x14ac:dyDescent="0.45">
      <c r="B110" s="78" t="s">
        <v>220</v>
      </c>
      <c r="C110" s="7"/>
      <c r="D110" s="7"/>
      <c r="I110" s="61">
        <v>0.25</v>
      </c>
      <c r="J110" s="61">
        <v>0.25</v>
      </c>
      <c r="K110" s="61">
        <v>0.25</v>
      </c>
      <c r="L110" s="61">
        <v>0.25</v>
      </c>
    </row>
    <row r="111" spans="2:12" x14ac:dyDescent="0.45">
      <c r="B111" s="78" t="s">
        <v>221</v>
      </c>
      <c r="C111" s="7"/>
      <c r="D111" s="7"/>
      <c r="I111" s="61">
        <v>0.25</v>
      </c>
      <c r="J111" s="61">
        <v>0.25</v>
      </c>
      <c r="K111" s="61">
        <v>0.25</v>
      </c>
      <c r="L111" s="61">
        <v>0.25</v>
      </c>
    </row>
    <row r="112" spans="2:12" x14ac:dyDescent="0.45">
      <c r="B112" s="78" t="s">
        <v>222</v>
      </c>
      <c r="C112" s="7"/>
      <c r="D112" s="7"/>
      <c r="I112" s="61">
        <v>0.25</v>
      </c>
      <c r="J112" s="61">
        <v>0.25</v>
      </c>
      <c r="K112" s="61">
        <v>0.25</v>
      </c>
      <c r="L112" s="61">
        <v>0.25</v>
      </c>
    </row>
    <row r="114" spans="1:12" x14ac:dyDescent="0.45">
      <c r="B114" s="82" t="s">
        <v>262</v>
      </c>
      <c r="C114" s="83"/>
      <c r="D114" s="83"/>
      <c r="E114" s="84"/>
      <c r="F114" s="84"/>
      <c r="G114" s="84"/>
      <c r="H114" s="84"/>
      <c r="I114" s="84"/>
      <c r="J114" s="84"/>
      <c r="K114" s="84"/>
      <c r="L114" s="84"/>
    </row>
    <row r="115" spans="1:12" x14ac:dyDescent="0.45">
      <c r="B115" s="72"/>
    </row>
    <row r="116" spans="1:12" x14ac:dyDescent="0.45">
      <c r="A116" s="10" t="s">
        <v>217</v>
      </c>
      <c r="B116" s="71" t="s">
        <v>286</v>
      </c>
      <c r="C116" s="52"/>
      <c r="D116" s="52"/>
      <c r="E116" s="53"/>
      <c r="F116" s="53"/>
      <c r="G116" s="53"/>
      <c r="H116" s="53"/>
      <c r="I116" s="53"/>
      <c r="J116" s="53"/>
      <c r="K116" s="53"/>
      <c r="L116" s="53"/>
    </row>
    <row r="117" spans="1:12" x14ac:dyDescent="0.45">
      <c r="B117" s="72"/>
    </row>
    <row r="118" spans="1:12" x14ac:dyDescent="0.45">
      <c r="B118" s="117" t="s">
        <v>125</v>
      </c>
      <c r="C118" s="65"/>
      <c r="D118" s="65"/>
      <c r="E118" s="66"/>
      <c r="F118" s="66"/>
      <c r="G118" s="66"/>
      <c r="J118" s="72" t="s">
        <v>271</v>
      </c>
    </row>
    <row r="119" spans="1:12" x14ac:dyDescent="0.45">
      <c r="B119" s="72"/>
      <c r="J119" s="107"/>
      <c r="K119" s="87"/>
      <c r="L119" s="87"/>
    </row>
    <row r="120" spans="1:12" x14ac:dyDescent="0.45">
      <c r="B120" s="78" t="s">
        <v>263</v>
      </c>
      <c r="G120" s="9">
        <f>'09_unit_economics_diagnostic'!G2</f>
        <v>245.55</v>
      </c>
      <c r="J120" s="98" t="s">
        <v>267</v>
      </c>
      <c r="L120" s="70">
        <f>G122*(1-0.143)</f>
        <v>296.3892253521127</v>
      </c>
    </row>
    <row r="121" spans="1:12" x14ac:dyDescent="0.45">
      <c r="B121" s="78" t="s">
        <v>264</v>
      </c>
      <c r="G121" s="61">
        <f>'09_unit_economics_diagnostic'!F2</f>
        <v>0.28999999999999998</v>
      </c>
      <c r="J121" s="98" t="s">
        <v>268</v>
      </c>
      <c r="L121" s="70">
        <f>L120-'09_unit_economics_diagnostic'!H2</f>
        <v>30.049225352112728</v>
      </c>
    </row>
    <row r="122" spans="1:12" x14ac:dyDescent="0.45">
      <c r="B122" s="115" t="s">
        <v>265</v>
      </c>
      <c r="C122" s="11"/>
      <c r="D122" s="11"/>
      <c r="E122" s="12"/>
      <c r="F122" s="12"/>
      <c r="G122" s="56">
        <f>G120/(1-G121)</f>
        <v>345.84507042253523</v>
      </c>
      <c r="J122" s="98" t="s">
        <v>269</v>
      </c>
      <c r="L122" s="70">
        <f>G120-'09_unit_economics_diagnostic'!H2</f>
        <v>-20.789999999999964</v>
      </c>
    </row>
    <row r="123" spans="1:12" x14ac:dyDescent="0.45">
      <c r="J123" s="11" t="s">
        <v>270</v>
      </c>
      <c r="K123" s="12"/>
      <c r="L123" s="56">
        <f>L121-L122</f>
        <v>50.839225352112692</v>
      </c>
    </row>
    <row r="125" spans="1:12" x14ac:dyDescent="0.45">
      <c r="B125" s="72" t="s">
        <v>272</v>
      </c>
      <c r="C125" s="11"/>
      <c r="D125" s="11"/>
      <c r="E125" s="12"/>
      <c r="F125" s="12"/>
      <c r="G125" s="118">
        <f>'09_unit_economics_diagnostic'!C2/'09_unit_economics_diagnostic'!G2</f>
        <v>3083.0458969659949</v>
      </c>
      <c r="J125" s="72" t="s">
        <v>273</v>
      </c>
      <c r="L125" s="118">
        <f>G125*L123</f>
        <v>156739.66512676061</v>
      </c>
    </row>
    <row r="126" spans="1:12" x14ac:dyDescent="0.45">
      <c r="B126" s="73"/>
    </row>
    <row r="127" spans="1:12" x14ac:dyDescent="0.45">
      <c r="B127" s="138" t="s">
        <v>274</v>
      </c>
      <c r="C127" s="139"/>
      <c r="D127" s="139"/>
      <c r="E127" s="139"/>
      <c r="F127" s="139"/>
      <c r="G127" s="139"/>
      <c r="H127" s="139"/>
      <c r="I127" s="139"/>
      <c r="J127" s="139"/>
      <c r="K127" s="139"/>
      <c r="L127" s="140"/>
    </row>
    <row r="128" spans="1:12" ht="16.5" customHeight="1" x14ac:dyDescent="0.45">
      <c r="B128" s="141"/>
      <c r="C128" s="142"/>
      <c r="D128" s="142"/>
      <c r="E128" s="142"/>
      <c r="F128" s="142"/>
      <c r="G128" s="142"/>
      <c r="H128" s="142"/>
      <c r="I128" s="142"/>
      <c r="J128" s="142"/>
      <c r="K128" s="142"/>
      <c r="L128" s="143"/>
    </row>
    <row r="130" spans="2:12" x14ac:dyDescent="0.45">
      <c r="B130" s="71" t="s">
        <v>287</v>
      </c>
      <c r="C130" s="52"/>
      <c r="D130" s="52"/>
      <c r="E130" s="53"/>
      <c r="F130" s="53"/>
      <c r="G130" s="53"/>
      <c r="H130" s="53"/>
      <c r="I130" s="53"/>
      <c r="J130" s="53"/>
      <c r="K130" s="53"/>
      <c r="L130" s="53"/>
    </row>
    <row r="132" spans="2:12" x14ac:dyDescent="0.45">
      <c r="B132" s="117" t="s">
        <v>8</v>
      </c>
      <c r="C132" s="65"/>
      <c r="D132" s="65"/>
      <c r="E132" s="66"/>
      <c r="F132" s="66"/>
      <c r="G132" s="66"/>
    </row>
    <row r="134" spans="2:12" x14ac:dyDescent="0.45">
      <c r="B134" s="78" t="s">
        <v>275</v>
      </c>
      <c r="G134" s="112">
        <f>'07_profit_analysis'!B3</f>
        <v>3787070.23</v>
      </c>
    </row>
    <row r="135" spans="2:12" x14ac:dyDescent="0.45">
      <c r="B135" s="78" t="s">
        <v>276</v>
      </c>
      <c r="G135" s="112">
        <f>G134*7%</f>
        <v>265094.91610000003</v>
      </c>
    </row>
    <row r="136" spans="2:12" x14ac:dyDescent="0.45">
      <c r="B136" s="78" t="s">
        <v>277</v>
      </c>
      <c r="G136" s="112">
        <f>G134*10%</f>
        <v>378707.02300000004</v>
      </c>
    </row>
    <row r="137" spans="2:12" x14ac:dyDescent="0.45">
      <c r="B137" s="115" t="s">
        <v>278</v>
      </c>
      <c r="C137" s="11"/>
      <c r="D137" s="11"/>
      <c r="E137" s="12"/>
      <c r="F137" s="12"/>
      <c r="G137" s="113">
        <f>G136-G135</f>
        <v>113612.10690000001</v>
      </c>
    </row>
    <row r="139" spans="2:12" x14ac:dyDescent="0.45">
      <c r="B139" s="144" t="s">
        <v>279</v>
      </c>
      <c r="C139" s="144"/>
      <c r="D139" s="144"/>
      <c r="E139" s="144"/>
      <c r="F139" s="144"/>
      <c r="G139" s="144"/>
      <c r="H139" s="144"/>
      <c r="I139" s="144"/>
      <c r="J139" s="144"/>
      <c r="K139" s="144"/>
      <c r="L139" s="144"/>
    </row>
    <row r="140" spans="2:12" ht="16.5" customHeight="1" x14ac:dyDescent="0.45">
      <c r="B140" s="144"/>
      <c r="C140" s="144"/>
      <c r="D140" s="144"/>
      <c r="E140" s="144"/>
      <c r="F140" s="144"/>
      <c r="G140" s="144"/>
      <c r="H140" s="144"/>
      <c r="I140" s="144"/>
      <c r="J140" s="144"/>
      <c r="K140" s="144"/>
      <c r="L140" s="144"/>
    </row>
    <row r="141" spans="2:12" x14ac:dyDescent="0.45">
      <c r="B141" s="144"/>
      <c r="C141" s="144"/>
      <c r="D141" s="144"/>
      <c r="E141" s="144"/>
      <c r="F141" s="144"/>
      <c r="G141" s="144"/>
      <c r="H141" s="144"/>
      <c r="I141" s="144"/>
      <c r="J141" s="144"/>
      <c r="K141" s="144"/>
      <c r="L141" s="144"/>
    </row>
    <row r="142" spans="2:12" x14ac:dyDescent="0.45">
      <c r="B142" s="144"/>
      <c r="C142" s="144"/>
      <c r="D142" s="144"/>
      <c r="E142" s="144"/>
      <c r="F142" s="144"/>
      <c r="G142" s="144"/>
      <c r="H142" s="144"/>
      <c r="I142" s="144"/>
      <c r="J142" s="144"/>
      <c r="K142" s="144"/>
      <c r="L142" s="144"/>
    </row>
    <row r="143" spans="2:12" x14ac:dyDescent="0.45">
      <c r="B143" s="144"/>
      <c r="C143" s="144"/>
      <c r="D143" s="144"/>
      <c r="E143" s="144"/>
      <c r="F143" s="144"/>
      <c r="G143" s="144"/>
      <c r="H143" s="144"/>
      <c r="I143" s="144"/>
      <c r="J143" s="144"/>
      <c r="K143" s="144"/>
      <c r="L143" s="144"/>
    </row>
    <row r="144" spans="2:12" x14ac:dyDescent="0.45">
      <c r="B144" s="144"/>
      <c r="C144" s="144"/>
      <c r="D144" s="144"/>
      <c r="E144" s="144"/>
      <c r="F144" s="144"/>
      <c r="G144" s="144"/>
      <c r="H144" s="144"/>
      <c r="I144" s="144"/>
      <c r="J144" s="144"/>
      <c r="K144" s="144"/>
      <c r="L144" s="144"/>
    </row>
    <row r="146" spans="1:12" x14ac:dyDescent="0.45">
      <c r="A146" s="10" t="s">
        <v>217</v>
      </c>
      <c r="B146" s="71" t="s">
        <v>288</v>
      </c>
      <c r="C146" s="52"/>
      <c r="D146" s="52"/>
      <c r="E146" s="53"/>
      <c r="F146" s="53"/>
      <c r="G146" s="53"/>
      <c r="H146" s="53"/>
      <c r="I146" s="53"/>
      <c r="J146" s="53"/>
      <c r="K146" s="53"/>
      <c r="L146" s="53"/>
    </row>
    <row r="148" spans="1:12" x14ac:dyDescent="0.45">
      <c r="B148" s="117" t="s">
        <v>7</v>
      </c>
      <c r="C148" s="65"/>
      <c r="D148" s="65"/>
      <c r="E148" s="66"/>
      <c r="F148" s="66"/>
      <c r="G148" s="66"/>
    </row>
    <row r="150" spans="1:12" x14ac:dyDescent="0.45">
      <c r="B150" s="73" t="s">
        <v>275</v>
      </c>
      <c r="G150" s="9">
        <f>'03_cateogry_analysis'!B2</f>
        <v>4744557.5</v>
      </c>
    </row>
    <row r="151" spans="1:12" x14ac:dyDescent="0.45">
      <c r="B151" s="73" t="s">
        <v>280</v>
      </c>
      <c r="G151" s="9">
        <f>G150*(1+8%)</f>
        <v>5124122.1000000006</v>
      </c>
    </row>
    <row r="152" spans="1:12" x14ac:dyDescent="0.45">
      <c r="B152" s="73" t="s">
        <v>281</v>
      </c>
      <c r="G152" s="9">
        <f>G150*(1+15%)</f>
        <v>5456241.125</v>
      </c>
    </row>
    <row r="153" spans="1:12" x14ac:dyDescent="0.45">
      <c r="B153" s="72" t="s">
        <v>282</v>
      </c>
      <c r="C153" s="11"/>
      <c r="D153" s="11"/>
      <c r="E153" s="12"/>
      <c r="F153" s="12"/>
      <c r="G153" s="56">
        <f>G152-G151</f>
        <v>332119.02499999944</v>
      </c>
    </row>
    <row r="155" spans="1:12" x14ac:dyDescent="0.45">
      <c r="B155" s="67" t="s">
        <v>283</v>
      </c>
      <c r="C155" s="11"/>
      <c r="D155" s="12"/>
      <c r="E155" s="12"/>
      <c r="F155" s="12"/>
      <c r="G155" s="12">
        <f>G153*14%</f>
        <v>46496.66349999993</v>
      </c>
    </row>
    <row r="157" spans="1:12" x14ac:dyDescent="0.45">
      <c r="B157" s="71" t="s">
        <v>284</v>
      </c>
      <c r="C157" s="52"/>
      <c r="D157" s="52"/>
      <c r="E157" s="53"/>
      <c r="F157" s="53"/>
      <c r="G157" s="53"/>
      <c r="H157" s="53"/>
      <c r="I157" s="53"/>
      <c r="J157" s="53"/>
      <c r="K157" s="53"/>
      <c r="L157" s="53"/>
    </row>
    <row r="158" spans="1:12" x14ac:dyDescent="0.45">
      <c r="K158" s="57" t="s">
        <v>294</v>
      </c>
      <c r="L158" s="57" t="s">
        <v>244</v>
      </c>
    </row>
    <row r="159" spans="1:12" x14ac:dyDescent="0.45">
      <c r="B159" s="72" t="s">
        <v>285</v>
      </c>
      <c r="C159" s="11"/>
      <c r="D159" s="11"/>
      <c r="E159" s="12"/>
      <c r="F159" s="12"/>
      <c r="G159" s="12">
        <v>374088.33069000009</v>
      </c>
      <c r="J159" s="10" t="s">
        <v>293</v>
      </c>
      <c r="K159" s="7">
        <f>G163-G159</f>
        <v>316848.43552676053</v>
      </c>
      <c r="L159" s="61">
        <f>K159/G159</f>
        <v>0.84698829001786435</v>
      </c>
    </row>
    <row r="160" spans="1:12" x14ac:dyDescent="0.45">
      <c r="B160" s="78" t="s">
        <v>289</v>
      </c>
      <c r="G160" s="7">
        <f>L125</f>
        <v>156739.66512676061</v>
      </c>
    </row>
    <row r="161" spans="2:7" x14ac:dyDescent="0.45">
      <c r="B161" s="78" t="s">
        <v>290</v>
      </c>
      <c r="G161" s="7">
        <f>G137</f>
        <v>113612.10690000001</v>
      </c>
    </row>
    <row r="162" spans="2:7" x14ac:dyDescent="0.45">
      <c r="B162" s="78" t="s">
        <v>291</v>
      </c>
      <c r="G162" s="7">
        <f>G155</f>
        <v>46496.66349999993</v>
      </c>
    </row>
    <row r="163" spans="2:7" x14ac:dyDescent="0.45">
      <c r="B163" s="72" t="s">
        <v>292</v>
      </c>
      <c r="C163" s="11"/>
      <c r="D163" s="11"/>
      <c r="E163" s="12"/>
      <c r="F163" s="12"/>
      <c r="G163" s="55">
        <f>SUM(G159:G162)</f>
        <v>690936.76621676062</v>
      </c>
    </row>
  </sheetData>
  <mergeCells count="7">
    <mergeCell ref="B127:L128"/>
    <mergeCell ref="B139:L144"/>
    <mergeCell ref="B34:L35"/>
    <mergeCell ref="B61:L62"/>
    <mergeCell ref="B65:L67"/>
    <mergeCell ref="B79:L80"/>
    <mergeCell ref="B49:L50"/>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6385" r:id="rId3" name="Drop Down 1">
              <controlPr defaultSize="0" autoLine="0" autoPict="0">
                <anchor moveWithCells="1">
                  <from>
                    <xdr:col>3</xdr:col>
                    <xdr:colOff>0</xdr:colOff>
                    <xdr:row>5</xdr:row>
                    <xdr:rowOff>190500</xdr:rowOff>
                  </from>
                  <to>
                    <xdr:col>4</xdr:col>
                    <xdr:colOff>298450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9E1E-887C-41B3-9464-81B355740D7D}">
  <sheetPr codeName="Sheet16">
    <tabColor rgb="FF1F4E3D"/>
  </sheetPr>
  <dimension ref="A1:U46"/>
  <sheetViews>
    <sheetView showGridLines="0" zoomScale="59" zoomScaleNormal="59" workbookViewId="0">
      <selection activeCell="L14" sqref="L14"/>
    </sheetView>
  </sheetViews>
  <sheetFormatPr defaultRowHeight="16.5" outlineLevelCol="1" x14ac:dyDescent="0.45"/>
  <cols>
    <col min="1" max="1" width="8.7265625" style="7"/>
    <col min="2" max="2" width="8.7265625" style="70"/>
    <col min="3" max="5" width="8.7265625" style="8"/>
    <col min="6" max="6" width="8.7265625" style="8" customWidth="1"/>
    <col min="7" max="9" width="11.7265625" style="7" hidden="1" customWidth="1" outlineLevel="1"/>
    <col min="10" max="10" width="11.7265625" style="7" customWidth="1" collapsed="1"/>
    <col min="11" max="14" width="11.7265625" style="7" customWidth="1"/>
    <col min="15" max="16384" width="8.7265625" style="7"/>
  </cols>
  <sheetData>
    <row r="1" spans="1:21" ht="46.5" customHeight="1" x14ac:dyDescent="0.45">
      <c r="A1" s="10" t="s">
        <v>217</v>
      </c>
      <c r="B1" s="69" t="s">
        <v>248</v>
      </c>
      <c r="C1" s="50"/>
      <c r="D1" s="50"/>
      <c r="E1" s="50"/>
      <c r="F1" s="50"/>
      <c r="G1" s="51"/>
      <c r="H1" s="51"/>
      <c r="I1" s="51"/>
      <c r="J1" s="51"/>
      <c r="K1" s="51"/>
      <c r="L1" s="51"/>
      <c r="M1" s="51"/>
      <c r="N1" s="51"/>
    </row>
    <row r="3" spans="1:21" x14ac:dyDescent="0.45">
      <c r="A3" s="10" t="s">
        <v>217</v>
      </c>
      <c r="B3" s="71" t="s">
        <v>209</v>
      </c>
      <c r="C3" s="52"/>
      <c r="D3" s="52"/>
      <c r="E3" s="52"/>
      <c r="F3" s="52"/>
      <c r="G3" s="53"/>
      <c r="H3" s="53"/>
      <c r="I3" s="53"/>
      <c r="J3" s="53"/>
      <c r="K3" s="53"/>
      <c r="L3" s="53"/>
      <c r="M3" s="53"/>
      <c r="N3" s="53"/>
      <c r="O3" s="54"/>
      <c r="P3" s="54"/>
      <c r="Q3" s="54"/>
      <c r="R3" s="54"/>
      <c r="S3" s="54"/>
      <c r="T3" s="54"/>
      <c r="U3" s="54"/>
    </row>
    <row r="4" spans="1:21" x14ac:dyDescent="0.45">
      <c r="C4" s="7"/>
      <c r="D4" s="7"/>
      <c r="E4" s="7"/>
      <c r="F4" s="7"/>
    </row>
    <row r="5" spans="1:21" ht="17" thickBot="1" x14ac:dyDescent="0.5">
      <c r="B5" s="68" t="s">
        <v>226</v>
      </c>
      <c r="C5" s="7"/>
      <c r="D5" s="7"/>
      <c r="E5" s="7"/>
      <c r="F5" s="7"/>
      <c r="K5" s="58" t="s">
        <v>210</v>
      </c>
      <c r="L5" s="58" t="s">
        <v>184</v>
      </c>
      <c r="M5" s="58" t="s">
        <v>185</v>
      </c>
      <c r="N5" s="58" t="s">
        <v>186</v>
      </c>
    </row>
    <row r="6" spans="1:21" x14ac:dyDescent="0.45">
      <c r="B6" s="7"/>
      <c r="C6" s="7"/>
      <c r="D6" s="7"/>
      <c r="E6" s="7"/>
      <c r="F6" s="7"/>
    </row>
    <row r="7" spans="1:21" x14ac:dyDescent="0.45">
      <c r="B7" s="72" t="s">
        <v>183</v>
      </c>
      <c r="K7" s="64">
        <f>Inputs!I26</f>
        <v>2259450.9</v>
      </c>
      <c r="L7" s="64">
        <f>Inputs!J26</f>
        <v>2677438.69</v>
      </c>
      <c r="M7" s="64">
        <f>Inputs!K26</f>
        <v>3405746.45</v>
      </c>
      <c r="N7" s="64">
        <f>Inputs!L26</f>
        <v>4299865.87</v>
      </c>
    </row>
    <row r="8" spans="1:21" x14ac:dyDescent="0.45">
      <c r="B8" s="99" t="s">
        <v>249</v>
      </c>
      <c r="K8" s="63">
        <f>Inputs!I31</f>
        <v>0</v>
      </c>
      <c r="L8" s="63">
        <f>Inputs!J31</f>
        <v>0.18</v>
      </c>
      <c r="M8" s="63">
        <f>Inputs!K31</f>
        <v>0.27</v>
      </c>
      <c r="N8" s="63">
        <f>Inputs!L31</f>
        <v>0.26</v>
      </c>
    </row>
    <row r="10" spans="1:21" x14ac:dyDescent="0.45">
      <c r="B10" s="72" t="s">
        <v>211</v>
      </c>
      <c r="K10" s="9">
        <f>Inputs!I27</f>
        <v>-2010510.0899999999</v>
      </c>
      <c r="L10" s="9">
        <f>Inputs!J27</f>
        <v>-2370023.41</v>
      </c>
      <c r="M10" s="9">
        <f>Inputs!K27</f>
        <v>-2998811.22</v>
      </c>
      <c r="N10" s="9">
        <f>Inputs!L27</f>
        <v>-3795699.9000000004</v>
      </c>
    </row>
    <row r="11" spans="1:21" x14ac:dyDescent="0.45">
      <c r="B11" s="99" t="s">
        <v>250</v>
      </c>
      <c r="K11" s="61">
        <f>K10/K7*-1</f>
        <v>0.88982242986559257</v>
      </c>
      <c r="L11" s="61">
        <f t="shared" ref="L11:N11" si="0">L10/L7*-1</f>
        <v>0.88518307397731677</v>
      </c>
      <c r="M11" s="61">
        <f t="shared" si="0"/>
        <v>0.88051511292039963</v>
      </c>
      <c r="N11" s="61">
        <f t="shared" si="0"/>
        <v>0.8827484425694424</v>
      </c>
    </row>
    <row r="13" spans="1:21" x14ac:dyDescent="0.45">
      <c r="B13" s="72" t="s">
        <v>191</v>
      </c>
      <c r="K13" s="64">
        <f>Inputs!I28</f>
        <v>248940.81</v>
      </c>
      <c r="L13" s="64">
        <f>Inputs!J28</f>
        <v>307415.28000000003</v>
      </c>
      <c r="M13" s="64">
        <f>Inputs!K28</f>
        <v>406935.23</v>
      </c>
      <c r="N13" s="64">
        <f>Inputs!L28</f>
        <v>504165.97</v>
      </c>
    </row>
    <row r="14" spans="1:21" x14ac:dyDescent="0.45">
      <c r="B14" s="99" t="s">
        <v>215</v>
      </c>
      <c r="C14" s="59"/>
      <c r="D14" s="59"/>
      <c r="E14" s="59"/>
      <c r="F14" s="59"/>
      <c r="K14" s="63">
        <f>Inputs!I30</f>
        <v>0.11019999999999999</v>
      </c>
      <c r="L14" s="63">
        <f>Inputs!J30</f>
        <v>0.1148</v>
      </c>
      <c r="M14" s="63">
        <f>Inputs!K30</f>
        <v>0.1195</v>
      </c>
      <c r="N14" s="63">
        <f>Inputs!L30</f>
        <v>0.1173</v>
      </c>
    </row>
    <row r="15" spans="1:21" x14ac:dyDescent="0.45">
      <c r="B15" s="100" t="s">
        <v>251</v>
      </c>
      <c r="C15" s="59"/>
      <c r="D15" s="59"/>
      <c r="E15" s="59"/>
      <c r="F15" s="59"/>
      <c r="K15" s="63">
        <f>Inputs!I32</f>
        <v>0</v>
      </c>
      <c r="L15" s="63">
        <f>Inputs!J32</f>
        <v>0.23</v>
      </c>
      <c r="M15" s="63">
        <f>Inputs!K32</f>
        <v>0.32</v>
      </c>
      <c r="N15" s="63">
        <f>Inputs!L32</f>
        <v>0.24</v>
      </c>
    </row>
    <row r="17" spans="1:15" x14ac:dyDescent="0.45">
      <c r="B17" s="145" t="s">
        <v>252</v>
      </c>
      <c r="C17" s="145"/>
      <c r="D17" s="145"/>
      <c r="E17" s="145"/>
      <c r="F17" s="145"/>
      <c r="G17" s="145"/>
      <c r="H17" s="145"/>
      <c r="I17" s="145"/>
      <c r="J17" s="145"/>
      <c r="K17" s="145"/>
      <c r="L17" s="145"/>
      <c r="M17" s="145"/>
      <c r="N17" s="145"/>
    </row>
    <row r="18" spans="1:15" x14ac:dyDescent="0.45">
      <c r="B18" s="145"/>
      <c r="C18" s="145"/>
      <c r="D18" s="145"/>
      <c r="E18" s="145"/>
      <c r="F18" s="145"/>
      <c r="G18" s="145"/>
      <c r="H18" s="145"/>
      <c r="I18" s="145"/>
      <c r="J18" s="145"/>
      <c r="K18" s="145"/>
      <c r="L18" s="145"/>
      <c r="M18" s="145"/>
      <c r="N18" s="145"/>
    </row>
    <row r="20" spans="1:15" x14ac:dyDescent="0.45">
      <c r="A20" s="7" t="s">
        <v>217</v>
      </c>
      <c r="B20" s="71" t="s">
        <v>253</v>
      </c>
      <c r="C20" s="52"/>
      <c r="D20" s="52"/>
      <c r="E20" s="52"/>
      <c r="F20" s="52"/>
      <c r="G20" s="53"/>
      <c r="H20" s="53"/>
      <c r="I20" s="53"/>
      <c r="J20" s="53"/>
      <c r="K20" s="53"/>
      <c r="L20" s="53"/>
      <c r="M20" s="53"/>
      <c r="N20" s="53"/>
    </row>
    <row r="21" spans="1:15" x14ac:dyDescent="0.45">
      <c r="C21" s="7"/>
      <c r="D21" s="7"/>
      <c r="E21" s="7"/>
      <c r="F21" s="7"/>
    </row>
    <row r="22" spans="1:15" ht="17" thickBot="1" x14ac:dyDescent="0.5">
      <c r="B22" s="68" t="s">
        <v>226</v>
      </c>
      <c r="J22" s="58" t="s">
        <v>186</v>
      </c>
      <c r="K22" s="101"/>
      <c r="L22" s="101" t="s">
        <v>192</v>
      </c>
      <c r="M22" s="101" t="s">
        <v>193</v>
      </c>
      <c r="N22" s="101" t="s">
        <v>256</v>
      </c>
    </row>
    <row r="24" spans="1:15" x14ac:dyDescent="0.45">
      <c r="B24" s="72" t="s">
        <v>266</v>
      </c>
      <c r="E24" s="116" t="str">
        <f>IF(Inputs!D7=1,"Downside",IF(Inputs!D7=2,"Base","Upside"))</f>
        <v>Upside</v>
      </c>
    </row>
    <row r="25" spans="1:15" x14ac:dyDescent="0.45">
      <c r="B25" s="72"/>
    </row>
    <row r="26" spans="1:15" x14ac:dyDescent="0.45">
      <c r="B26" s="73" t="s">
        <v>190</v>
      </c>
      <c r="D26" s="104">
        <f>Inputs!I19</f>
        <v>0.25</v>
      </c>
    </row>
    <row r="27" spans="1:15" x14ac:dyDescent="0.45">
      <c r="B27" s="7"/>
    </row>
    <row r="28" spans="1:15" x14ac:dyDescent="0.45">
      <c r="B28" s="111" t="s">
        <v>196</v>
      </c>
      <c r="G28" s="108">
        <v>0</v>
      </c>
      <c r="H28" s="106">
        <f>(H34-G34)/G34</f>
        <v>0.18499529686615454</v>
      </c>
      <c r="I28" s="106">
        <f t="shared" ref="I28:J28" si="1">(I34-H34)/H34</f>
        <v>0.27201659657797811</v>
      </c>
      <c r="J28" s="105">
        <f t="shared" si="1"/>
        <v>0.26253258518407907</v>
      </c>
      <c r="K28" s="102">
        <f>Inputs!I10</f>
        <v>0.08</v>
      </c>
      <c r="L28" s="102">
        <f>Inputs!J10</f>
        <v>0.08</v>
      </c>
      <c r="M28" s="102">
        <f>Inputs!K10</f>
        <v>0.08</v>
      </c>
      <c r="N28" s="103">
        <f>Inputs!L10</f>
        <v>0.08</v>
      </c>
      <c r="O28" s="9"/>
    </row>
    <row r="29" spans="1:15" x14ac:dyDescent="0.45">
      <c r="B29" s="111"/>
      <c r="G29" s="9"/>
      <c r="H29" s="9"/>
      <c r="I29" s="9"/>
      <c r="J29" s="9"/>
      <c r="K29" s="9"/>
      <c r="L29" s="9"/>
      <c r="M29" s="9"/>
      <c r="N29" s="9"/>
      <c r="O29" s="9"/>
    </row>
    <row r="30" spans="1:15" x14ac:dyDescent="0.45">
      <c r="B30" s="111" t="s">
        <v>215</v>
      </c>
      <c r="G30" s="105">
        <f>G36/G34</f>
        <v>0.11017757013440743</v>
      </c>
      <c r="H30" s="106">
        <f t="shared" ref="H30:J30" si="2">H36/H34</f>
        <v>0.11481692602268329</v>
      </c>
      <c r="I30" s="106">
        <f t="shared" si="2"/>
        <v>0.11948488707960041</v>
      </c>
      <c r="J30" s="105">
        <f t="shared" si="2"/>
        <v>0.11725155743055771</v>
      </c>
      <c r="K30" s="102">
        <f>Inputs!I13</f>
        <v>0.122</v>
      </c>
      <c r="L30" s="102">
        <f>Inputs!J13</f>
        <v>0.122</v>
      </c>
      <c r="M30" s="102">
        <f>Inputs!K13</f>
        <v>0.122</v>
      </c>
      <c r="N30" s="103">
        <f>Inputs!L13</f>
        <v>0.122</v>
      </c>
      <c r="O30" s="9"/>
    </row>
    <row r="31" spans="1:15" x14ac:dyDescent="0.45">
      <c r="B31" s="111"/>
      <c r="G31" s="9"/>
      <c r="H31" s="9"/>
      <c r="I31" s="9"/>
      <c r="J31" s="9"/>
      <c r="K31" s="9"/>
      <c r="L31" s="9"/>
      <c r="M31" s="9"/>
      <c r="N31" s="9"/>
      <c r="O31" s="9"/>
    </row>
    <row r="32" spans="1:15" x14ac:dyDescent="0.45">
      <c r="B32" s="111" t="s">
        <v>254</v>
      </c>
      <c r="G32" s="109">
        <v>0</v>
      </c>
      <c r="H32" s="110">
        <v>0</v>
      </c>
      <c r="I32" s="110">
        <v>0</v>
      </c>
      <c r="J32" s="109">
        <v>0</v>
      </c>
      <c r="K32" s="102">
        <f>Inputs!I16</f>
        <v>0.02</v>
      </c>
      <c r="L32" s="102">
        <f>Inputs!J16</f>
        <v>0.02</v>
      </c>
      <c r="M32" s="102">
        <f>Inputs!K16</f>
        <v>0.02</v>
      </c>
      <c r="N32" s="103">
        <f>Inputs!L16</f>
        <v>0.02</v>
      </c>
      <c r="O32" s="9"/>
    </row>
    <row r="33" spans="2:15" x14ac:dyDescent="0.45">
      <c r="B33" s="73"/>
      <c r="G33" s="9"/>
      <c r="H33" s="9"/>
      <c r="I33" s="9"/>
      <c r="J33" s="9"/>
      <c r="K33" s="9"/>
      <c r="L33" s="9"/>
      <c r="M33" s="9"/>
      <c r="N33" s="9"/>
      <c r="O33" s="9"/>
    </row>
    <row r="34" spans="2:15" x14ac:dyDescent="0.45">
      <c r="B34" s="72" t="s">
        <v>183</v>
      </c>
      <c r="C34" s="11"/>
      <c r="D34" s="11"/>
      <c r="E34" s="11"/>
      <c r="F34" s="11"/>
      <c r="G34" s="64">
        <f>'P&amp;L'!K7</f>
        <v>2259450.9</v>
      </c>
      <c r="H34" s="64">
        <f>'P&amp;L'!L7</f>
        <v>2677438.69</v>
      </c>
      <c r="I34" s="64">
        <f>'P&amp;L'!M7</f>
        <v>3405746.45</v>
      </c>
      <c r="J34" s="64">
        <f>'P&amp;L'!N7</f>
        <v>4299865.87</v>
      </c>
      <c r="K34" s="57">
        <f>J34*(1+K28)</f>
        <v>4643855.1396000003</v>
      </c>
      <c r="L34" s="57">
        <f t="shared" ref="L34:N34" si="3">K34*(1+L28)</f>
        <v>5015363.550768001</v>
      </c>
      <c r="M34" s="57">
        <f t="shared" si="3"/>
        <v>5416592.6348294411</v>
      </c>
      <c r="N34" s="57">
        <f t="shared" si="3"/>
        <v>5849920.0456157969</v>
      </c>
      <c r="O34" s="9"/>
    </row>
    <row r="35" spans="2:15" x14ac:dyDescent="0.45">
      <c r="B35" s="73" t="s">
        <v>211</v>
      </c>
      <c r="C35" s="11"/>
      <c r="D35" s="11"/>
      <c r="E35" s="11"/>
      <c r="F35" s="11"/>
      <c r="G35" s="90">
        <f>K10</f>
        <v>-2010510.0899999999</v>
      </c>
      <c r="H35" s="90">
        <f>L10</f>
        <v>-2370023.41</v>
      </c>
      <c r="I35" s="90">
        <f>M10</f>
        <v>-2998811.22</v>
      </c>
      <c r="J35" s="90">
        <f>N10</f>
        <v>-3795699.9000000004</v>
      </c>
      <c r="K35" s="90">
        <f>(K34-K36)*-1</f>
        <v>-4077304.8125688005</v>
      </c>
      <c r="L35" s="90">
        <f t="shared" ref="L35:N35" si="4">(L34-L36)*-1</f>
        <v>-4403489.1975743044</v>
      </c>
      <c r="M35" s="90">
        <f t="shared" si="4"/>
        <v>-4755768.3333802493</v>
      </c>
      <c r="N35" s="90">
        <f t="shared" si="4"/>
        <v>-5136229.8000506693</v>
      </c>
      <c r="O35" s="9"/>
    </row>
    <row r="36" spans="2:15" x14ac:dyDescent="0.45">
      <c r="B36" s="72" t="s">
        <v>191</v>
      </c>
      <c r="C36" s="11"/>
      <c r="D36" s="11"/>
      <c r="E36" s="11"/>
      <c r="F36" s="11"/>
      <c r="G36" s="62">
        <f>K13</f>
        <v>248940.81</v>
      </c>
      <c r="H36" s="62">
        <f t="shared" ref="H36:J36" si="5">L13</f>
        <v>307415.28000000003</v>
      </c>
      <c r="I36" s="62">
        <f t="shared" si="5"/>
        <v>406935.23</v>
      </c>
      <c r="J36" s="62">
        <f t="shared" si="5"/>
        <v>504165.97</v>
      </c>
      <c r="K36" s="56">
        <f>K34*K30</f>
        <v>566550.32703120005</v>
      </c>
      <c r="L36" s="56">
        <f t="shared" ref="L36:N36" si="6">L34*L30</f>
        <v>611874.35319369612</v>
      </c>
      <c r="M36" s="56">
        <f t="shared" si="6"/>
        <v>660824.30144919176</v>
      </c>
      <c r="N36" s="56">
        <f t="shared" si="6"/>
        <v>713690.24556512723</v>
      </c>
      <c r="O36" s="9"/>
    </row>
    <row r="37" spans="2:15" x14ac:dyDescent="0.45">
      <c r="G37" s="9"/>
      <c r="H37" s="9"/>
      <c r="I37" s="9"/>
      <c r="J37" s="9"/>
      <c r="K37" s="9"/>
      <c r="L37" s="9"/>
      <c r="M37" s="9"/>
      <c r="N37" s="9"/>
      <c r="O37" s="9"/>
    </row>
    <row r="38" spans="2:15" x14ac:dyDescent="0.45">
      <c r="B38" s="73" t="s">
        <v>255</v>
      </c>
      <c r="G38" s="9">
        <v>0</v>
      </c>
      <c r="H38" s="9">
        <v>0</v>
      </c>
      <c r="I38" s="9">
        <v>0</v>
      </c>
      <c r="J38" s="9">
        <v>0</v>
      </c>
      <c r="K38" s="9">
        <f>K34*K32*-1</f>
        <v>-92877.102792000005</v>
      </c>
      <c r="L38" s="9">
        <f t="shared" ref="L38:N38" si="7">L34*L32*-1</f>
        <v>-100307.27101536002</v>
      </c>
      <c r="M38" s="9">
        <f t="shared" si="7"/>
        <v>-108331.85269658883</v>
      </c>
      <c r="N38" s="9">
        <f t="shared" si="7"/>
        <v>-116998.40091231593</v>
      </c>
      <c r="O38" s="9"/>
    </row>
    <row r="39" spans="2:15" x14ac:dyDescent="0.45">
      <c r="B39" s="72" t="s">
        <v>257</v>
      </c>
      <c r="G39" s="56">
        <f t="shared" ref="G39:N39" si="8">G36+G38</f>
        <v>248940.81</v>
      </c>
      <c r="H39" s="56">
        <f t="shared" si="8"/>
        <v>307415.28000000003</v>
      </c>
      <c r="I39" s="56">
        <f t="shared" si="8"/>
        <v>406935.23</v>
      </c>
      <c r="J39" s="56">
        <f t="shared" si="8"/>
        <v>504165.97</v>
      </c>
      <c r="K39" s="56">
        <f t="shared" si="8"/>
        <v>473673.22423920006</v>
      </c>
      <c r="L39" s="56">
        <f t="shared" si="8"/>
        <v>511567.0821783361</v>
      </c>
      <c r="M39" s="56">
        <f t="shared" si="8"/>
        <v>552492.44875260291</v>
      </c>
      <c r="N39" s="56">
        <f t="shared" si="8"/>
        <v>596691.8446528113</v>
      </c>
      <c r="O39" s="9"/>
    </row>
    <row r="40" spans="2:15" x14ac:dyDescent="0.45">
      <c r="B40" s="7"/>
      <c r="C40" s="7"/>
      <c r="D40" s="7"/>
      <c r="E40" s="7"/>
      <c r="F40" s="7"/>
      <c r="G40" s="9"/>
      <c r="H40" s="9"/>
      <c r="I40" s="9"/>
      <c r="J40" s="9"/>
      <c r="K40" s="9"/>
      <c r="L40" s="9"/>
      <c r="M40" s="9"/>
      <c r="N40" s="9"/>
      <c r="O40" s="9"/>
    </row>
    <row r="41" spans="2:15" x14ac:dyDescent="0.45">
      <c r="B41" s="99" t="s">
        <v>258</v>
      </c>
      <c r="C41" s="59"/>
      <c r="D41" s="59"/>
      <c r="E41" s="59"/>
      <c r="F41" s="59"/>
      <c r="G41" s="61">
        <f>G39/G34</f>
        <v>0.11017757013440743</v>
      </c>
      <c r="H41" s="61">
        <f t="shared" ref="H41:N41" si="9">H39/H34</f>
        <v>0.11481692602268329</v>
      </c>
      <c r="I41" s="61">
        <f t="shared" si="9"/>
        <v>0.11948488707960041</v>
      </c>
      <c r="J41" s="61">
        <f t="shared" si="9"/>
        <v>0.11725155743055771</v>
      </c>
      <c r="K41" s="61">
        <f t="shared" si="9"/>
        <v>0.10200000000000001</v>
      </c>
      <c r="L41" s="61">
        <f t="shared" si="9"/>
        <v>0.10199999999999999</v>
      </c>
      <c r="M41" s="61">
        <f t="shared" si="9"/>
        <v>0.10199999999999998</v>
      </c>
      <c r="N41" s="61">
        <f t="shared" si="9"/>
        <v>0.10200000000000001</v>
      </c>
      <c r="O41" s="9"/>
    </row>
    <row r="42" spans="2:15" x14ac:dyDescent="0.45">
      <c r="G42" s="9"/>
      <c r="H42" s="9"/>
      <c r="I42" s="9"/>
      <c r="J42" s="9"/>
      <c r="K42" s="9"/>
      <c r="L42" s="9"/>
      <c r="M42" s="9"/>
      <c r="N42" s="9"/>
      <c r="O42" s="9"/>
    </row>
    <row r="43" spans="2:15" x14ac:dyDescent="0.45">
      <c r="B43" s="73" t="s">
        <v>189</v>
      </c>
      <c r="G43" s="9">
        <f t="shared" ref="G43:N43" si="10">G39*$D$26*-1</f>
        <v>-62235.202499999999</v>
      </c>
      <c r="H43" s="9">
        <f t="shared" si="10"/>
        <v>-76853.820000000007</v>
      </c>
      <c r="I43" s="9">
        <f t="shared" si="10"/>
        <v>-101733.8075</v>
      </c>
      <c r="J43" s="9">
        <f t="shared" si="10"/>
        <v>-126041.49249999999</v>
      </c>
      <c r="K43" s="9">
        <f t="shared" si="10"/>
        <v>-118418.30605980002</v>
      </c>
      <c r="L43" s="9">
        <f t="shared" si="10"/>
        <v>-127891.77054458403</v>
      </c>
      <c r="M43" s="9">
        <f t="shared" si="10"/>
        <v>-138123.11218815073</v>
      </c>
      <c r="N43" s="9">
        <f t="shared" si="10"/>
        <v>-149172.96116320282</v>
      </c>
      <c r="O43" s="9"/>
    </row>
    <row r="44" spans="2:15" x14ac:dyDescent="0.45">
      <c r="G44" s="9"/>
      <c r="H44" s="9"/>
      <c r="I44" s="9"/>
      <c r="J44" s="9"/>
      <c r="K44" s="9"/>
      <c r="L44" s="9"/>
      <c r="M44" s="9"/>
      <c r="N44" s="9"/>
      <c r="O44" s="9"/>
    </row>
    <row r="45" spans="2:15" ht="17" thickBot="1" x14ac:dyDescent="0.5">
      <c r="B45" s="72" t="s">
        <v>259</v>
      </c>
      <c r="C45" s="11"/>
      <c r="D45" s="11"/>
      <c r="E45" s="11"/>
      <c r="F45" s="11"/>
      <c r="G45" s="114">
        <f>G39+G43</f>
        <v>186705.60749999998</v>
      </c>
      <c r="H45" s="114">
        <f t="shared" ref="H45:N45" si="11">H39+H43</f>
        <v>230561.46000000002</v>
      </c>
      <c r="I45" s="114">
        <f t="shared" si="11"/>
        <v>305201.42249999999</v>
      </c>
      <c r="J45" s="114">
        <f t="shared" si="11"/>
        <v>378124.47749999998</v>
      </c>
      <c r="K45" s="114">
        <f t="shared" si="11"/>
        <v>355254.91817940003</v>
      </c>
      <c r="L45" s="114">
        <f t="shared" si="11"/>
        <v>383675.31163375208</v>
      </c>
      <c r="M45" s="114">
        <f t="shared" si="11"/>
        <v>414369.33656445215</v>
      </c>
      <c r="N45" s="114">
        <f t="shared" si="11"/>
        <v>447518.88348960847</v>
      </c>
      <c r="O45" s="9"/>
    </row>
    <row r="46" spans="2:15" ht="17" thickTop="1" x14ac:dyDescent="0.45">
      <c r="G46" s="9"/>
      <c r="H46" s="9"/>
      <c r="I46" s="9"/>
      <c r="J46" s="9"/>
      <c r="K46" s="9"/>
      <c r="L46" s="9"/>
      <c r="M46" s="9"/>
      <c r="N46" s="9"/>
      <c r="O46" s="9"/>
    </row>
  </sheetData>
  <mergeCells count="1">
    <mergeCell ref="B17:N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450C-68E2-4F33-9810-980D2357D0E3}">
  <dimension ref="A1:AN80"/>
  <sheetViews>
    <sheetView showGridLines="0" zoomScale="42" workbookViewId="0">
      <selection activeCell="AO38" sqref="AO38"/>
    </sheetView>
  </sheetViews>
  <sheetFormatPr defaultRowHeight="16.5" outlineLevelCol="1" x14ac:dyDescent="0.45"/>
  <cols>
    <col min="1" max="23" width="8.7265625" style="120"/>
    <col min="24" max="25" width="18.26953125" style="120" hidden="1" customWidth="1" outlineLevel="1"/>
    <col min="26" max="26" width="28.1796875" style="120" hidden="1" customWidth="1" outlineLevel="1"/>
    <col min="27" max="31" width="16.54296875" style="120" hidden="1" customWidth="1" outlineLevel="1"/>
    <col min="32" max="39" width="0" style="120" hidden="1" customWidth="1" outlineLevel="1"/>
    <col min="40" max="40" width="8.7265625" style="120" collapsed="1"/>
    <col min="41" max="16384" width="8.7265625" style="120"/>
  </cols>
  <sheetData>
    <row r="1" spans="1:39" s="121" customFormat="1" ht="39.5" customHeight="1" x14ac:dyDescent="0.45">
      <c r="A1" s="120"/>
      <c r="B1" s="69" t="s">
        <v>248</v>
      </c>
      <c r="G1" s="130"/>
    </row>
    <row r="3" spans="1:39" ht="18" x14ac:dyDescent="0.5">
      <c r="B3" s="127" t="s">
        <v>298</v>
      </c>
      <c r="X3" s="122" t="s">
        <v>299</v>
      </c>
      <c r="Y3" s="123"/>
      <c r="Z3" s="123"/>
      <c r="AA3" s="123"/>
      <c r="AB3" s="123"/>
      <c r="AC3" s="123"/>
      <c r="AD3" s="123"/>
      <c r="AE3" s="123"/>
      <c r="AF3" s="123"/>
      <c r="AG3" s="123"/>
      <c r="AH3" s="123"/>
      <c r="AI3" s="123"/>
      <c r="AJ3" s="123"/>
      <c r="AK3" s="123"/>
      <c r="AL3" s="123"/>
      <c r="AM3" s="123"/>
    </row>
    <row r="5" spans="1:39" x14ac:dyDescent="0.45">
      <c r="AA5" s="57" t="s">
        <v>210</v>
      </c>
      <c r="AB5" s="57" t="s">
        <v>184</v>
      </c>
      <c r="AC5" s="57" t="s">
        <v>185</v>
      </c>
      <c r="AD5" s="57" t="s">
        <v>186</v>
      </c>
    </row>
    <row r="6" spans="1:39" x14ac:dyDescent="0.45">
      <c r="X6" s="120" t="s">
        <v>9</v>
      </c>
      <c r="AA6" s="124">
        <f>'10_analysis_time_series_categor'!C2</f>
        <v>756192.38</v>
      </c>
      <c r="AB6" s="124">
        <f>'10_analysis_time_series_categor'!C5</f>
        <v>858902.56</v>
      </c>
      <c r="AC6" s="124">
        <f>'10_analysis_time_series_categor'!C8</f>
        <v>1117723.55</v>
      </c>
      <c r="AD6" s="124">
        <f>'10_analysis_time_series_categor'!C11</f>
        <v>1378055.69</v>
      </c>
    </row>
    <row r="7" spans="1:39" x14ac:dyDescent="0.45">
      <c r="B7" s="129"/>
      <c r="C7" s="132"/>
      <c r="D7" s="132"/>
      <c r="E7" s="132"/>
      <c r="G7" s="129"/>
      <c r="H7" s="129"/>
      <c r="I7" s="129"/>
      <c r="J7" s="129"/>
      <c r="L7" s="129"/>
      <c r="M7" s="129"/>
      <c r="N7" s="129"/>
      <c r="O7" s="129"/>
      <c r="Q7" s="129"/>
      <c r="R7" s="129"/>
      <c r="S7" s="129"/>
      <c r="T7" s="129"/>
      <c r="X7" s="120" t="s">
        <v>8</v>
      </c>
      <c r="AA7" s="124">
        <f>'10_analysis_time_series_categor'!C3</f>
        <v>675606.45</v>
      </c>
      <c r="AB7" s="124">
        <f>'10_analysis_time_series_categor'!C6</f>
        <v>795094.63</v>
      </c>
      <c r="AC7" s="124">
        <f>'10_analysis_time_series_categor'!C9</f>
        <v>1010717.64</v>
      </c>
      <c r="AD7" s="124">
        <f>'10_analysis_time_series_categor'!C12</f>
        <v>1305651.51</v>
      </c>
    </row>
    <row r="8" spans="1:39" x14ac:dyDescent="0.45">
      <c r="B8" s="132"/>
      <c r="C8" s="132"/>
      <c r="D8" s="132"/>
      <c r="E8" s="132"/>
      <c r="G8" s="129"/>
      <c r="H8" s="129"/>
      <c r="I8" s="129"/>
      <c r="J8" s="129"/>
      <c r="L8" s="129"/>
      <c r="M8" s="129"/>
      <c r="N8" s="129"/>
      <c r="O8" s="129"/>
      <c r="Q8" s="129"/>
      <c r="R8" s="129"/>
      <c r="S8" s="129"/>
      <c r="T8" s="129"/>
      <c r="X8" s="120" t="s">
        <v>7</v>
      </c>
      <c r="AA8" s="124">
        <f>'10_analysis_time_series_categor'!C4</f>
        <v>827652.06</v>
      </c>
      <c r="AB8" s="124">
        <f>'10_analysis_time_series_categor'!C7</f>
        <v>1023441.51</v>
      </c>
      <c r="AC8" s="124">
        <f>'10_analysis_time_series_categor'!C10</f>
        <v>1277305.25</v>
      </c>
      <c r="AD8" s="124">
        <f>'10_analysis_time_series_categor'!C13</f>
        <v>1616158.67</v>
      </c>
    </row>
    <row r="9" spans="1:39" x14ac:dyDescent="0.45">
      <c r="B9" s="132"/>
      <c r="C9" s="132"/>
      <c r="D9" s="132"/>
      <c r="E9" s="132"/>
      <c r="G9" s="129"/>
      <c r="H9" s="129"/>
      <c r="I9" s="129"/>
      <c r="J9" s="129"/>
      <c r="L9" s="129"/>
      <c r="M9" s="129"/>
      <c r="N9" s="129"/>
      <c r="O9" s="129"/>
      <c r="Q9" s="129"/>
      <c r="R9" s="129"/>
      <c r="S9" s="129"/>
      <c r="T9" s="129"/>
      <c r="X9" s="120" t="s">
        <v>275</v>
      </c>
      <c r="AA9" s="125">
        <f>SUM(AA6:AA8)</f>
        <v>2259450.89</v>
      </c>
      <c r="AB9" s="125">
        <f t="shared" ref="AB9:AD9" si="0">SUM(AB6:AB8)</f>
        <v>2677438.7000000002</v>
      </c>
      <c r="AC9" s="125">
        <f t="shared" si="0"/>
        <v>3405746.44</v>
      </c>
      <c r="AD9" s="125">
        <f t="shared" si="0"/>
        <v>4299865.87</v>
      </c>
    </row>
    <row r="10" spans="1:39" x14ac:dyDescent="0.45">
      <c r="B10" s="132"/>
      <c r="C10" s="132"/>
      <c r="D10" s="132"/>
      <c r="E10" s="132"/>
      <c r="G10" s="129"/>
      <c r="H10" s="129"/>
      <c r="I10" s="129"/>
      <c r="J10" s="129"/>
      <c r="L10" s="129"/>
      <c r="M10" s="129"/>
      <c r="N10" s="129"/>
      <c r="O10" s="129"/>
      <c r="Q10" s="129"/>
      <c r="R10" s="129"/>
      <c r="S10" s="129"/>
      <c r="T10" s="129"/>
    </row>
    <row r="11" spans="1:39" x14ac:dyDescent="0.45">
      <c r="B11" s="132"/>
      <c r="C11" s="132"/>
      <c r="D11" s="132"/>
      <c r="E11" s="132"/>
      <c r="G11" s="129"/>
      <c r="H11" s="129"/>
      <c r="I11" s="129"/>
      <c r="J11" s="129"/>
      <c r="L11" s="129"/>
      <c r="M11" s="129"/>
      <c r="N11" s="129"/>
      <c r="O11" s="129"/>
      <c r="Q11" s="129"/>
      <c r="R11" s="129"/>
      <c r="S11" s="129"/>
      <c r="T11" s="129"/>
      <c r="X11" s="120" t="s">
        <v>215</v>
      </c>
      <c r="AA11" s="63">
        <f>'P&amp;L'!K14</f>
        <v>0.11019999999999999</v>
      </c>
      <c r="AB11" s="63">
        <f>'P&amp;L'!L14</f>
        <v>0.1148</v>
      </c>
      <c r="AC11" s="63">
        <f>'P&amp;L'!M14</f>
        <v>0.1195</v>
      </c>
      <c r="AD11" s="63">
        <f>'P&amp;L'!N14</f>
        <v>0.1173</v>
      </c>
    </row>
    <row r="12" spans="1:39" x14ac:dyDescent="0.45">
      <c r="B12" s="132"/>
      <c r="C12" s="132"/>
      <c r="D12" s="132"/>
      <c r="E12" s="132"/>
      <c r="G12" s="129"/>
      <c r="H12" s="129"/>
      <c r="I12" s="129"/>
      <c r="J12" s="129"/>
      <c r="L12" s="129"/>
      <c r="M12" s="129"/>
      <c r="N12" s="129"/>
      <c r="O12" s="129"/>
      <c r="Q12" s="129"/>
      <c r="R12" s="129"/>
      <c r="S12" s="129"/>
      <c r="T12" s="129"/>
    </row>
    <row r="13" spans="1:39" x14ac:dyDescent="0.45">
      <c r="B13" s="132"/>
      <c r="C13" s="132"/>
      <c r="D13" s="132"/>
      <c r="E13" s="132"/>
      <c r="G13" s="129"/>
      <c r="H13" s="129"/>
      <c r="I13" s="129"/>
      <c r="J13" s="129"/>
      <c r="L13" s="129"/>
      <c r="M13" s="129"/>
      <c r="N13" s="129"/>
      <c r="O13" s="129"/>
      <c r="Q13" s="129"/>
      <c r="R13" s="129"/>
      <c r="S13" s="129"/>
      <c r="T13" s="129"/>
      <c r="X13" s="122" t="s">
        <v>188</v>
      </c>
      <c r="Y13" s="123"/>
      <c r="Z13" s="123"/>
      <c r="AA13" s="123"/>
      <c r="AB13" s="123"/>
      <c r="AC13" s="123"/>
      <c r="AD13" s="123"/>
      <c r="AE13" s="123"/>
      <c r="AF13" s="123"/>
      <c r="AG13" s="123"/>
      <c r="AH13" s="123"/>
      <c r="AI13" s="123"/>
      <c r="AJ13" s="123"/>
      <c r="AK13" s="123"/>
      <c r="AL13" s="123"/>
      <c r="AM13" s="123"/>
    </row>
    <row r="15" spans="1:39" x14ac:dyDescent="0.45">
      <c r="AA15" s="57" t="s">
        <v>228</v>
      </c>
      <c r="AB15" s="57" t="s">
        <v>229</v>
      </c>
      <c r="AC15" s="57"/>
      <c r="AD15" s="57"/>
    </row>
    <row r="16" spans="1:39" x14ac:dyDescent="0.45">
      <c r="X16" s="120" t="s">
        <v>9</v>
      </c>
      <c r="AA16" s="63">
        <f>'03_cateogry_analysis'!E3/100</f>
        <v>0.32520000000000004</v>
      </c>
      <c r="AB16" s="63">
        <f>'07_profit_analysis'!F4/100</f>
        <v>0.19440000000000002</v>
      </c>
    </row>
    <row r="17" spans="2:39" x14ac:dyDescent="0.45">
      <c r="X17" s="120" t="s">
        <v>8</v>
      </c>
      <c r="AA17" s="63">
        <f>'03_cateogry_analysis'!E4/100</f>
        <v>0.29960000000000003</v>
      </c>
      <c r="AB17" s="63">
        <f>'07_profit_analysis'!F3/100</f>
        <v>0.3533</v>
      </c>
    </row>
    <row r="18" spans="2:39" x14ac:dyDescent="0.45">
      <c r="X18" s="120" t="s">
        <v>7</v>
      </c>
      <c r="AA18" s="63">
        <f>'03_cateogry_analysis'!E2/100</f>
        <v>0.37530000000000002</v>
      </c>
      <c r="AB18" s="63">
        <f>'07_profit_analysis'!F2/100</f>
        <v>0.45229999999999998</v>
      </c>
    </row>
    <row r="20" spans="2:39" ht="18" x14ac:dyDescent="0.5">
      <c r="B20" s="128" t="s">
        <v>306</v>
      </c>
      <c r="C20" s="126"/>
      <c r="D20" s="126"/>
      <c r="E20" s="126"/>
      <c r="F20" s="126"/>
      <c r="G20" s="126"/>
      <c r="H20" s="126"/>
      <c r="I20" s="126"/>
      <c r="J20" s="126"/>
      <c r="M20" s="128" t="s">
        <v>325</v>
      </c>
      <c r="N20" s="126"/>
      <c r="O20" s="126"/>
      <c r="P20" s="126"/>
      <c r="Q20" s="126"/>
      <c r="R20" s="126"/>
      <c r="S20" s="126"/>
      <c r="T20" s="126"/>
      <c r="U20" s="126"/>
      <c r="X20" s="122" t="s">
        <v>301</v>
      </c>
      <c r="Y20" s="123"/>
      <c r="Z20" s="123"/>
      <c r="AA20" s="123"/>
      <c r="AB20" s="123"/>
      <c r="AC20" s="123"/>
      <c r="AD20" s="123"/>
      <c r="AE20" s="123"/>
      <c r="AF20" s="123"/>
      <c r="AG20" s="123"/>
      <c r="AH20" s="123"/>
      <c r="AI20" s="123"/>
      <c r="AJ20" s="123"/>
      <c r="AK20" s="123"/>
      <c r="AL20" s="123"/>
      <c r="AM20" s="123"/>
    </row>
    <row r="22" spans="2:39" x14ac:dyDescent="0.45">
      <c r="X22" s="120" t="s">
        <v>25</v>
      </c>
      <c r="Y22" s="120" t="s">
        <v>302</v>
      </c>
      <c r="Z22" s="120" t="s">
        <v>303</v>
      </c>
      <c r="AA22" s="120" t="s">
        <v>304</v>
      </c>
      <c r="AB22" s="120" t="s">
        <v>305</v>
      </c>
    </row>
    <row r="23" spans="2:39" x14ac:dyDescent="0.45">
      <c r="X23" s="120" t="str">
        <f>'04_product_subcategory_analysis'!B18</f>
        <v>Furniture</v>
      </c>
      <c r="Y23" s="120" t="str">
        <f>'04_product_subcategory_analysis'!A18</f>
        <v>Tables</v>
      </c>
      <c r="Z23" s="120" t="str">
        <f t="shared" ref="Z23:Z39" si="1">Y23 &amp; " (" &amp; X23 &amp; ")"</f>
        <v>Tables (Furniture)</v>
      </c>
      <c r="AA23" s="63">
        <f>'04_product_subcategory_analysis'!E18/100</f>
        <v>-0.08</v>
      </c>
      <c r="AB23" s="120">
        <f>0</f>
        <v>0</v>
      </c>
    </row>
    <row r="24" spans="2:39" x14ac:dyDescent="0.45">
      <c r="X24" s="120" t="str">
        <f>'04_product_subcategory_analysis'!B17</f>
        <v>Technology</v>
      </c>
      <c r="Y24" s="120" t="str">
        <f>'04_product_subcategory_analysis'!A17</f>
        <v>Machines</v>
      </c>
      <c r="Z24" s="120" t="str">
        <f t="shared" si="1"/>
        <v>Machines (Technology)</v>
      </c>
      <c r="AA24" s="63">
        <f>'04_product_subcategory_analysis'!E17/100</f>
        <v>0.08</v>
      </c>
      <c r="AB24" s="120">
        <f>0</f>
        <v>0</v>
      </c>
    </row>
    <row r="25" spans="2:39" x14ac:dyDescent="0.45">
      <c r="X25" s="120" t="str">
        <f>'04_product_subcategory_analysis'!B15</f>
        <v>Office Supplies</v>
      </c>
      <c r="Y25" s="120" t="str">
        <f>'04_product_subcategory_analysis'!A15</f>
        <v>Supplies</v>
      </c>
      <c r="Z25" s="120" t="str">
        <f t="shared" si="1"/>
        <v>Supplies (Office Supplies)</v>
      </c>
      <c r="AA25" s="63">
        <f>'04_product_subcategory_analysis'!E15/100</f>
        <v>0.09</v>
      </c>
      <c r="AB25" s="120">
        <f>0</f>
        <v>0</v>
      </c>
    </row>
    <row r="26" spans="2:39" x14ac:dyDescent="0.45">
      <c r="X26" s="120" t="str">
        <f>'04_product_subcategory_analysis'!B16</f>
        <v>Furniture</v>
      </c>
      <c r="Y26" s="120" t="str">
        <f>'04_product_subcategory_analysis'!A16</f>
        <v>Chairs</v>
      </c>
      <c r="Z26" s="120" t="str">
        <f t="shared" si="1"/>
        <v>Chairs (Furniture)</v>
      </c>
      <c r="AA26" s="63">
        <f>'04_product_subcategory_analysis'!E16/100</f>
        <v>0.09</v>
      </c>
      <c r="AB26" s="120">
        <f>0</f>
        <v>0</v>
      </c>
    </row>
    <row r="27" spans="2:39" x14ac:dyDescent="0.45">
      <c r="X27" s="120" t="str">
        <f>'04_product_subcategory_analysis'!B14</f>
        <v>Office Supplies</v>
      </c>
      <c r="Y27" s="120" t="str">
        <f>'04_product_subcategory_analysis'!A14</f>
        <v>Storage</v>
      </c>
      <c r="Z27" s="120" t="str">
        <f t="shared" si="1"/>
        <v>Storage (Office Supplies)</v>
      </c>
      <c r="AA27" s="63">
        <f>'04_product_subcategory_analysis'!E14/100</f>
        <v>0.1</v>
      </c>
      <c r="AB27" s="120">
        <f>0</f>
        <v>0</v>
      </c>
    </row>
    <row r="28" spans="2:39" x14ac:dyDescent="0.45">
      <c r="X28" s="120" t="str">
        <f>'04_product_subcategory_analysis'!B13</f>
        <v>Furniture</v>
      </c>
      <c r="Y28" s="120" t="str">
        <f>'04_product_subcategory_analysis'!A13</f>
        <v>Bookcases</v>
      </c>
      <c r="Z28" s="120" t="str">
        <f t="shared" si="1"/>
        <v>Bookcases (Furniture)</v>
      </c>
      <c r="AA28" s="63">
        <f>'04_product_subcategory_analysis'!E13/100</f>
        <v>0.11</v>
      </c>
      <c r="AB28" s="120">
        <f>0</f>
        <v>0</v>
      </c>
    </row>
    <row r="29" spans="2:39" x14ac:dyDescent="0.45">
      <c r="X29" s="120" t="str">
        <f>'04_product_subcategory_analysis'!B12</f>
        <v>Furniture</v>
      </c>
      <c r="Y29" s="120" t="str">
        <f>'04_product_subcategory_analysis'!A12</f>
        <v>Furnishings</v>
      </c>
      <c r="Z29" s="120" t="str">
        <f t="shared" si="1"/>
        <v>Furnishings (Furniture)</v>
      </c>
      <c r="AA29" s="63">
        <f>'04_product_subcategory_analysis'!E12/100</f>
        <v>0.12</v>
      </c>
      <c r="AB29" s="120">
        <f>0</f>
        <v>0</v>
      </c>
    </row>
    <row r="30" spans="2:39" x14ac:dyDescent="0.45">
      <c r="X30" s="120" t="str">
        <f>'04_product_subcategory_analysis'!B11</f>
        <v>Technology</v>
      </c>
      <c r="Y30" s="120" t="str">
        <f>'04_product_subcategory_analysis'!A11</f>
        <v>Phones</v>
      </c>
      <c r="Z30" s="120" t="str">
        <f t="shared" si="1"/>
        <v>Phones (Technology)</v>
      </c>
      <c r="AA30" s="63">
        <f>'04_product_subcategory_analysis'!E11/100</f>
        <v>0.13</v>
      </c>
      <c r="AB30" s="120">
        <f>0</f>
        <v>0</v>
      </c>
    </row>
    <row r="31" spans="2:39" x14ac:dyDescent="0.45">
      <c r="X31" s="120" t="str">
        <f>'04_product_subcategory_analysis'!B9</f>
        <v>Office Supplies</v>
      </c>
      <c r="Y31" s="120" t="str">
        <f>'04_product_subcategory_analysis'!A9</f>
        <v>Fasteners</v>
      </c>
      <c r="Z31" s="120" t="str">
        <f t="shared" si="1"/>
        <v>Fasteners (Office Supplies)</v>
      </c>
      <c r="AA31" s="63">
        <f>'04_product_subcategory_analysis'!E9/100</f>
        <v>0.14000000000000001</v>
      </c>
      <c r="AB31" s="120">
        <f>0</f>
        <v>0</v>
      </c>
    </row>
    <row r="32" spans="2:39" x14ac:dyDescent="0.45">
      <c r="X32" s="120" t="str">
        <f>'04_product_subcategory_analysis'!B10</f>
        <v>Office Supplies</v>
      </c>
      <c r="Y32" s="120" t="str">
        <f>'04_product_subcategory_analysis'!A10</f>
        <v>Appliances</v>
      </c>
      <c r="Z32" s="120" t="str">
        <f t="shared" si="1"/>
        <v>Appliances (Office Supplies)</v>
      </c>
      <c r="AA32" s="63">
        <f>'04_product_subcategory_analysis'!E10/100</f>
        <v>0.14000000000000001</v>
      </c>
      <c r="AB32" s="120">
        <f>0</f>
        <v>0</v>
      </c>
    </row>
    <row r="33" spans="2:39" x14ac:dyDescent="0.45">
      <c r="X33" s="120" t="str">
        <f>'04_product_subcategory_analysis'!B7</f>
        <v>Office Supplies</v>
      </c>
      <c r="Y33" s="120" t="str">
        <f>'04_product_subcategory_analysis'!A7</f>
        <v>Binders</v>
      </c>
      <c r="Z33" s="120" t="str">
        <f t="shared" si="1"/>
        <v>Binders (Office Supplies)</v>
      </c>
      <c r="AA33" s="63">
        <f>'04_product_subcategory_analysis'!E7/100</f>
        <v>0.16</v>
      </c>
      <c r="AB33" s="120">
        <f>0</f>
        <v>0</v>
      </c>
    </row>
    <row r="34" spans="2:39" x14ac:dyDescent="0.45">
      <c r="X34" s="120" t="str">
        <f>'04_product_subcategory_analysis'!B8</f>
        <v>Office Supplies</v>
      </c>
      <c r="Y34" s="120" t="str">
        <f>'04_product_subcategory_analysis'!A8</f>
        <v>Art</v>
      </c>
      <c r="Z34" s="120" t="str">
        <f t="shared" si="1"/>
        <v>Art (Office Supplies)</v>
      </c>
      <c r="AA34" s="63">
        <f>'04_product_subcategory_analysis'!E8/100</f>
        <v>0.16</v>
      </c>
      <c r="AB34" s="120">
        <f>0</f>
        <v>0</v>
      </c>
    </row>
    <row r="35" spans="2:39" x14ac:dyDescent="0.45">
      <c r="X35" s="120" t="str">
        <f>'04_product_subcategory_analysis'!B4</f>
        <v>Office Supplies</v>
      </c>
      <c r="Y35" s="120" t="str">
        <f>'04_product_subcategory_analysis'!A4</f>
        <v>Envelopes</v>
      </c>
      <c r="Z35" s="120" t="str">
        <f t="shared" si="1"/>
        <v>Envelopes (Office Supplies)</v>
      </c>
      <c r="AA35" s="63">
        <f>'04_product_subcategory_analysis'!E4/100</f>
        <v>0.17</v>
      </c>
      <c r="AB35" s="120">
        <f>0</f>
        <v>0</v>
      </c>
    </row>
    <row r="36" spans="2:39" x14ac:dyDescent="0.45">
      <c r="X36" s="120" t="str">
        <f>'04_product_subcategory_analysis'!B5</f>
        <v>Technology</v>
      </c>
      <c r="Y36" s="120" t="str">
        <f>'04_product_subcategory_analysis'!A5</f>
        <v>Copiers</v>
      </c>
      <c r="Z36" s="120" t="str">
        <f t="shared" si="1"/>
        <v>Copiers (Technology)</v>
      </c>
      <c r="AA36" s="63">
        <f>'04_product_subcategory_analysis'!E5/100</f>
        <v>0.17</v>
      </c>
      <c r="AB36" s="120">
        <f>0</f>
        <v>0</v>
      </c>
    </row>
    <row r="37" spans="2:39" x14ac:dyDescent="0.45">
      <c r="X37" s="120" t="str">
        <f>'04_product_subcategory_analysis'!B6</f>
        <v>Technology</v>
      </c>
      <c r="Y37" s="120" t="str">
        <f>'04_product_subcategory_analysis'!A6</f>
        <v>Accessories</v>
      </c>
      <c r="Z37" s="120" t="str">
        <f t="shared" si="1"/>
        <v>Accessories (Technology)</v>
      </c>
      <c r="AA37" s="63">
        <f>'04_product_subcategory_analysis'!E6/100</f>
        <v>0.17</v>
      </c>
      <c r="AB37" s="120">
        <f>0</f>
        <v>0</v>
      </c>
    </row>
    <row r="38" spans="2:39" x14ac:dyDescent="0.45">
      <c r="X38" s="120" t="str">
        <f>'04_product_subcategory_analysis'!B3</f>
        <v>Office Supplies</v>
      </c>
      <c r="Y38" s="120" t="str">
        <f>'04_product_subcategory_analysis'!A3</f>
        <v>Labels</v>
      </c>
      <c r="Z38" s="120" t="str">
        <f t="shared" si="1"/>
        <v>Labels (Office Supplies)</v>
      </c>
      <c r="AA38" s="63">
        <f>'04_product_subcategory_analysis'!E3/100</f>
        <v>0.2</v>
      </c>
      <c r="AB38" s="120">
        <f>0</f>
        <v>0</v>
      </c>
    </row>
    <row r="39" spans="2:39" x14ac:dyDescent="0.45">
      <c r="X39" s="120" t="str">
        <f>'04_product_subcategory_analysis'!B2</f>
        <v>Office Supplies</v>
      </c>
      <c r="Y39" s="120" t="str">
        <f>'04_product_subcategory_analysis'!A2</f>
        <v>Paper</v>
      </c>
      <c r="Z39" s="120" t="str">
        <f t="shared" si="1"/>
        <v>Paper (Office Supplies)</v>
      </c>
      <c r="AA39" s="63">
        <f>'04_product_subcategory_analysis'!E2/100</f>
        <v>0.24</v>
      </c>
      <c r="AB39" s="120">
        <f>0</f>
        <v>0</v>
      </c>
    </row>
    <row r="41" spans="2:39" x14ac:dyDescent="0.45">
      <c r="X41" s="122" t="s">
        <v>309</v>
      </c>
      <c r="Y41" s="123"/>
      <c r="Z41" s="123"/>
      <c r="AA41" s="123"/>
      <c r="AB41" s="123"/>
      <c r="AC41" s="123"/>
      <c r="AD41" s="123"/>
      <c r="AE41" s="123"/>
      <c r="AF41" s="123"/>
      <c r="AG41" s="123"/>
      <c r="AH41" s="123"/>
      <c r="AI41" s="123"/>
      <c r="AJ41" s="123"/>
      <c r="AK41" s="123"/>
      <c r="AL41" s="123"/>
      <c r="AM41" s="123"/>
    </row>
    <row r="43" spans="2:39" x14ac:dyDescent="0.45">
      <c r="X43" s="120" t="s">
        <v>23</v>
      </c>
      <c r="Y43" s="120" t="s">
        <v>183</v>
      </c>
      <c r="Z43" s="120" t="s">
        <v>215</v>
      </c>
    </row>
    <row r="44" spans="2:39" x14ac:dyDescent="0.45">
      <c r="X44" s="120" t="str">
        <f>'05_regional_analysis'!A2</f>
        <v>Central</v>
      </c>
      <c r="Y44" s="9">
        <f>'05_regional_analysis'!B2</f>
        <v>2822302.52</v>
      </c>
      <c r="Z44" s="63">
        <f>'05_regional_analysis'!D2/100</f>
        <v>0.11</v>
      </c>
    </row>
    <row r="45" spans="2:39" x14ac:dyDescent="0.45">
      <c r="X45" s="120" t="str">
        <f>'05_regional_analysis'!A3</f>
        <v>South</v>
      </c>
      <c r="Y45" s="9">
        <f>'05_regional_analysis'!B3</f>
        <v>1600907.04</v>
      </c>
      <c r="Z45" s="63">
        <f>'05_regional_analysis'!D3/100</f>
        <v>0.09</v>
      </c>
    </row>
    <row r="46" spans="2:39" ht="18" x14ac:dyDescent="0.5">
      <c r="B46" s="128" t="s">
        <v>308</v>
      </c>
      <c r="C46" s="126"/>
      <c r="D46" s="126"/>
      <c r="E46" s="126"/>
      <c r="F46" s="126"/>
      <c r="G46" s="126"/>
      <c r="H46" s="126"/>
      <c r="I46" s="126"/>
      <c r="J46" s="126"/>
      <c r="M46" s="128" t="s">
        <v>310</v>
      </c>
      <c r="N46" s="126"/>
      <c r="O46" s="126"/>
      <c r="P46" s="126"/>
      <c r="Q46" s="126"/>
      <c r="R46" s="126"/>
      <c r="S46" s="126"/>
      <c r="T46" s="126"/>
      <c r="U46" s="126"/>
      <c r="X46" s="120" t="str">
        <f>'05_regional_analysis'!A4</f>
        <v>North</v>
      </c>
      <c r="Y46" s="9">
        <f>'05_regional_analysis'!B4</f>
        <v>1248165.6000000001</v>
      </c>
      <c r="Z46" s="63">
        <f>'05_regional_analysis'!D4/100</f>
        <v>0.16</v>
      </c>
    </row>
    <row r="47" spans="2:39" x14ac:dyDescent="0.45">
      <c r="X47" s="120" t="str">
        <f>'05_regional_analysis'!A5</f>
        <v>Oceania</v>
      </c>
      <c r="Y47" s="9">
        <f>'05_regional_analysis'!B5</f>
        <v>1100184.6100000001</v>
      </c>
      <c r="Z47" s="63">
        <f>'05_regional_analysis'!D5/100</f>
        <v>0.11</v>
      </c>
    </row>
    <row r="48" spans="2:39" x14ac:dyDescent="0.45">
      <c r="X48" s="120" t="str">
        <f>'05_regional_analysis'!A6</f>
        <v>Southeast Asia</v>
      </c>
      <c r="Y48" s="9">
        <f>'05_regional_analysis'!B6</f>
        <v>884423.17</v>
      </c>
      <c r="Z48" s="63">
        <f>'05_regional_analysis'!D6/100</f>
        <v>0.02</v>
      </c>
    </row>
    <row r="49" spans="24:39" x14ac:dyDescent="0.45">
      <c r="X49" s="120" t="str">
        <f>'05_regional_analysis'!A7</f>
        <v>North Asia</v>
      </c>
      <c r="Y49" s="9">
        <f>'05_regional_analysis'!B7</f>
        <v>848309.78</v>
      </c>
      <c r="Z49" s="63">
        <f>'05_regional_analysis'!D7/100</f>
        <v>0.2</v>
      </c>
    </row>
    <row r="50" spans="24:39" x14ac:dyDescent="0.45">
      <c r="X50" s="120" t="str">
        <f>'05_regional_analysis'!A8</f>
        <v>EMEA</v>
      </c>
      <c r="Y50" s="9">
        <f>'05_regional_analysis'!B8</f>
        <v>806161.31</v>
      </c>
      <c r="Z50" s="63">
        <f>'05_regional_analysis'!D8/100</f>
        <v>0.05</v>
      </c>
    </row>
    <row r="51" spans="24:39" x14ac:dyDescent="0.45">
      <c r="X51" s="120" t="str">
        <f>'05_regional_analysis'!A9</f>
        <v>Africa</v>
      </c>
      <c r="Y51" s="9">
        <f>'05_regional_analysis'!B9</f>
        <v>783773.21</v>
      </c>
      <c r="Z51" s="63">
        <f>'05_regional_analysis'!D9/100</f>
        <v>0.11</v>
      </c>
    </row>
    <row r="52" spans="24:39" x14ac:dyDescent="0.45">
      <c r="X52" s="120" t="str">
        <f>'05_regional_analysis'!A10</f>
        <v>Central Asia</v>
      </c>
      <c r="Y52" s="9">
        <f>'05_regional_analysis'!B10</f>
        <v>752826.57</v>
      </c>
      <c r="Z52" s="63">
        <f>'05_regional_analysis'!D10/100</f>
        <v>0.18</v>
      </c>
    </row>
    <row r="53" spans="24:39" x14ac:dyDescent="0.45">
      <c r="X53" s="120" t="str">
        <f>'05_regional_analysis'!A11</f>
        <v>West</v>
      </c>
      <c r="Y53" s="9">
        <f>'05_regional_analysis'!B11</f>
        <v>725457.82</v>
      </c>
      <c r="Z53" s="63">
        <f>'05_regional_analysis'!D11/100</f>
        <v>0.15</v>
      </c>
    </row>
    <row r="54" spans="24:39" x14ac:dyDescent="0.45">
      <c r="X54" s="120" t="str">
        <f>'05_regional_analysis'!A12</f>
        <v>East</v>
      </c>
      <c r="Y54" s="9">
        <f>'05_regional_analysis'!B12</f>
        <v>678781.24</v>
      </c>
      <c r="Z54" s="63">
        <f>'05_regional_analysis'!D12/100</f>
        <v>0.13</v>
      </c>
    </row>
    <row r="55" spans="24:39" x14ac:dyDescent="0.45">
      <c r="X55" s="120" t="str">
        <f>'05_regional_analysis'!A13</f>
        <v>Caribbean</v>
      </c>
      <c r="Y55" s="9">
        <f>'05_regional_analysis'!B13</f>
        <v>324280.86</v>
      </c>
      <c r="Z55" s="63">
        <f>'05_regional_analysis'!D13/100</f>
        <v>0.11</v>
      </c>
    </row>
    <row r="56" spans="24:39" x14ac:dyDescent="0.45">
      <c r="X56" s="120" t="str">
        <f>'05_regional_analysis'!A14</f>
        <v>Canada</v>
      </c>
      <c r="Y56" s="9">
        <f>'05_regional_analysis'!B14</f>
        <v>66928.17</v>
      </c>
      <c r="Z56" s="63">
        <f>'05_regional_analysis'!D14/100</f>
        <v>0.27</v>
      </c>
    </row>
    <row r="58" spans="24:39" x14ac:dyDescent="0.45">
      <c r="X58" s="122" t="s">
        <v>311</v>
      </c>
      <c r="Y58" s="123"/>
      <c r="Z58" s="123"/>
      <c r="AA58" s="123"/>
      <c r="AB58" s="123"/>
      <c r="AC58" s="123"/>
      <c r="AD58" s="123"/>
      <c r="AE58" s="123"/>
      <c r="AF58" s="123"/>
      <c r="AG58" s="123"/>
      <c r="AH58" s="123"/>
      <c r="AI58" s="123"/>
      <c r="AJ58" s="123"/>
      <c r="AK58" s="123"/>
      <c r="AL58" s="123"/>
      <c r="AM58" s="123"/>
    </row>
    <row r="60" spans="24:39" x14ac:dyDescent="0.45">
      <c r="Y60" s="120" t="s">
        <v>312</v>
      </c>
    </row>
    <row r="61" spans="24:39" x14ac:dyDescent="0.45">
      <c r="X61" s="120" t="str">
        <f>'06_customer_segment_analysis'!A2</f>
        <v>Consumer</v>
      </c>
      <c r="Y61" s="63">
        <f>'06_customer_segment_analysis'!E2%</f>
        <v>0.51479999999999992</v>
      </c>
    </row>
    <row r="62" spans="24:39" x14ac:dyDescent="0.45">
      <c r="X62" s="120" t="str">
        <f>'06_customer_segment_analysis'!A3</f>
        <v>Corporate</v>
      </c>
      <c r="Y62" s="63">
        <f>'06_customer_segment_analysis'!E3%</f>
        <v>0.30249999999999999</v>
      </c>
    </row>
    <row r="63" spans="24:39" x14ac:dyDescent="0.45">
      <c r="X63" s="120" t="str">
        <f>'06_customer_segment_analysis'!A4</f>
        <v>Home Office</v>
      </c>
      <c r="Y63" s="63">
        <f>'06_customer_segment_analysis'!E4%</f>
        <v>0.1827</v>
      </c>
    </row>
    <row r="66" spans="2:39" x14ac:dyDescent="0.45">
      <c r="X66" s="122" t="s">
        <v>313</v>
      </c>
      <c r="Y66" s="123"/>
      <c r="Z66" s="123"/>
      <c r="AA66" s="123"/>
      <c r="AB66" s="123"/>
      <c r="AC66" s="123"/>
      <c r="AD66" s="123"/>
      <c r="AE66" s="123"/>
      <c r="AF66" s="123"/>
      <c r="AG66" s="123"/>
      <c r="AH66" s="123"/>
      <c r="AI66" s="123"/>
      <c r="AJ66" s="123"/>
      <c r="AK66" s="123"/>
      <c r="AL66" s="123"/>
      <c r="AM66" s="123"/>
    </row>
    <row r="68" spans="2:39" x14ac:dyDescent="0.45">
      <c r="X68" s="120" t="s">
        <v>314</v>
      </c>
      <c r="Y68" s="120">
        <v>374088.33069000009</v>
      </c>
    </row>
    <row r="69" spans="2:39" x14ac:dyDescent="0.45">
      <c r="X69" s="120" t="s">
        <v>315</v>
      </c>
      <c r="Y69" s="120">
        <f>Inputs!L125</f>
        <v>156739.66512676061</v>
      </c>
    </row>
    <row r="70" spans="2:39" x14ac:dyDescent="0.45">
      <c r="X70" s="120" t="s">
        <v>316</v>
      </c>
      <c r="Y70" s="120">
        <f>Inputs!G137</f>
        <v>113612.10690000001</v>
      </c>
    </row>
    <row r="71" spans="2:39" x14ac:dyDescent="0.45">
      <c r="X71" s="120" t="s">
        <v>317</v>
      </c>
      <c r="Y71" s="120">
        <f>Inputs!G155</f>
        <v>46496.66349999993</v>
      </c>
    </row>
    <row r="72" spans="2:39" x14ac:dyDescent="0.45">
      <c r="X72" s="120" t="s">
        <v>292</v>
      </c>
      <c r="Y72" s="120">
        <f>SUM(Y68:Y71)</f>
        <v>690936.76621676062</v>
      </c>
    </row>
    <row r="74" spans="2:39" ht="18" x14ac:dyDescent="0.5">
      <c r="B74" s="128" t="s">
        <v>319</v>
      </c>
      <c r="C74" s="126"/>
      <c r="D74" s="126"/>
      <c r="E74" s="126"/>
      <c r="F74" s="126"/>
      <c r="G74" s="126"/>
      <c r="H74" s="126"/>
      <c r="I74" s="126"/>
      <c r="J74" s="126"/>
      <c r="M74" s="128" t="s">
        <v>318</v>
      </c>
      <c r="N74" s="126"/>
      <c r="O74" s="126"/>
      <c r="P74" s="126"/>
      <c r="Q74" s="126"/>
      <c r="R74" s="126"/>
      <c r="S74" s="126"/>
      <c r="T74" s="126"/>
      <c r="U74" s="126"/>
      <c r="X74" s="122" t="s">
        <v>320</v>
      </c>
      <c r="Y74" s="123"/>
      <c r="Z74" s="123"/>
      <c r="AA74" s="123"/>
      <c r="AB74" s="123"/>
      <c r="AC74" s="123"/>
      <c r="AD74" s="123"/>
      <c r="AE74" s="123"/>
      <c r="AF74" s="123"/>
      <c r="AG74" s="123"/>
      <c r="AH74" s="123"/>
      <c r="AI74" s="123"/>
      <c r="AJ74" s="123"/>
      <c r="AK74" s="123"/>
      <c r="AL74" s="123"/>
      <c r="AM74" s="123"/>
    </row>
    <row r="76" spans="2:39" x14ac:dyDescent="0.45">
      <c r="X76" s="120" t="s">
        <v>321</v>
      </c>
      <c r="Y76" s="131">
        <f>'P&amp;L'!J34</f>
        <v>4299865.87</v>
      </c>
      <c r="Z76" s="120" t="s">
        <v>324</v>
      </c>
    </row>
    <row r="77" spans="2:39" x14ac:dyDescent="0.45">
      <c r="X77" s="120" t="s">
        <v>322</v>
      </c>
      <c r="Y77" s="63">
        <f>('P&amp;L'!J34-'P&amp;L'!I34)/'P&amp;L'!I34</f>
        <v>0.26253258518407907</v>
      </c>
    </row>
    <row r="78" spans="2:39" x14ac:dyDescent="0.45">
      <c r="X78" s="120" t="s">
        <v>212</v>
      </c>
      <c r="Y78" s="63">
        <f>'P&amp;L'!J30</f>
        <v>0.11725155743055771</v>
      </c>
    </row>
    <row r="79" spans="2:39" x14ac:dyDescent="0.45">
      <c r="X79" s="120" t="s">
        <v>323</v>
      </c>
      <c r="Y79" s="63">
        <f>_xlfn.RRI(3,'P&amp;L'!G34,'P&amp;L'!J34)</f>
        <v>0.23922642814936013</v>
      </c>
    </row>
    <row r="80" spans="2:39" x14ac:dyDescent="0.45">
      <c r="X80" s="120" t="s">
        <v>314</v>
      </c>
      <c r="Y80" s="120">
        <f>'P&amp;L'!K39</f>
        <v>473673.22423920006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21E7-0A62-497F-BFDD-E1642DE5216D}">
  <sheetPr codeName="Sheet18">
    <tabColor rgb="FF1F4E3D"/>
  </sheetPr>
  <dimension ref="A1:AM80"/>
  <sheetViews>
    <sheetView showGridLines="0" topLeftCell="A4" zoomScale="59" zoomScaleNormal="100" workbookViewId="0">
      <selection activeCell="AB16" sqref="AB16"/>
    </sheetView>
  </sheetViews>
  <sheetFormatPr defaultRowHeight="16.5" x14ac:dyDescent="0.45"/>
  <cols>
    <col min="1" max="23" width="8.7265625" style="120"/>
    <col min="24" max="25" width="18.26953125" style="120" customWidth="1"/>
    <col min="26" max="26" width="28.1796875" style="120" bestFit="1" customWidth="1"/>
    <col min="27" max="31" width="16.54296875" style="120" customWidth="1"/>
    <col min="32" max="16384" width="8.7265625" style="120"/>
  </cols>
  <sheetData>
    <row r="1" spans="1:39" s="121" customFormat="1" ht="39.5" customHeight="1" x14ac:dyDescent="0.45">
      <c r="A1" s="120"/>
      <c r="B1" s="69" t="s">
        <v>248</v>
      </c>
      <c r="G1" s="130"/>
    </row>
    <row r="3" spans="1:39" ht="18" x14ac:dyDescent="0.5">
      <c r="B3" s="127" t="s">
        <v>298</v>
      </c>
      <c r="X3" s="122" t="s">
        <v>299</v>
      </c>
      <c r="Y3" s="123"/>
      <c r="Z3" s="123"/>
      <c r="AA3" s="123"/>
      <c r="AB3" s="123"/>
      <c r="AC3" s="123"/>
      <c r="AD3" s="123"/>
      <c r="AE3" s="123"/>
      <c r="AF3" s="123"/>
      <c r="AG3" s="123"/>
      <c r="AH3" s="123"/>
      <c r="AI3" s="123"/>
      <c r="AJ3" s="123"/>
      <c r="AK3" s="123"/>
      <c r="AL3" s="123"/>
      <c r="AM3" s="123"/>
    </row>
    <row r="5" spans="1:39" x14ac:dyDescent="0.45">
      <c r="AA5" s="57" t="s">
        <v>210</v>
      </c>
      <c r="AB5" s="57" t="s">
        <v>184</v>
      </c>
      <c r="AC5" s="57" t="s">
        <v>185</v>
      </c>
      <c r="AD5" s="57" t="s">
        <v>186</v>
      </c>
    </row>
    <row r="6" spans="1:39" x14ac:dyDescent="0.45">
      <c r="X6" s="120" t="s">
        <v>9</v>
      </c>
      <c r="AA6" s="124">
        <f>'10_analysis_time_series_categor'!C2</f>
        <v>756192.38</v>
      </c>
      <c r="AB6" s="124">
        <f>'10_analysis_time_series_categor'!C5</f>
        <v>858902.56</v>
      </c>
      <c r="AC6" s="124">
        <f>'10_analysis_time_series_categor'!C8</f>
        <v>1117723.55</v>
      </c>
      <c r="AD6" s="124">
        <f>'10_analysis_time_series_categor'!C11</f>
        <v>1378055.69</v>
      </c>
    </row>
    <row r="7" spans="1:39" x14ac:dyDescent="0.45">
      <c r="B7" s="129"/>
      <c r="C7" s="132"/>
      <c r="D7" s="132"/>
      <c r="E7" s="132"/>
      <c r="G7" s="129"/>
      <c r="H7" s="129"/>
      <c r="I7" s="129"/>
      <c r="J7" s="129"/>
      <c r="L7" s="129"/>
      <c r="M7" s="129"/>
      <c r="N7" s="129"/>
      <c r="O7" s="129"/>
      <c r="Q7" s="129"/>
      <c r="R7" s="129"/>
      <c r="S7" s="129"/>
      <c r="T7" s="129"/>
      <c r="X7" s="120" t="s">
        <v>8</v>
      </c>
      <c r="AA7" s="124">
        <f>'10_analysis_time_series_categor'!C3</f>
        <v>675606.45</v>
      </c>
      <c r="AB7" s="124">
        <f>'10_analysis_time_series_categor'!C6</f>
        <v>795094.63</v>
      </c>
      <c r="AC7" s="124">
        <f>'10_analysis_time_series_categor'!C9</f>
        <v>1010717.64</v>
      </c>
      <c r="AD7" s="124">
        <f>'10_analysis_time_series_categor'!C12</f>
        <v>1305651.51</v>
      </c>
    </row>
    <row r="8" spans="1:39" x14ac:dyDescent="0.45">
      <c r="B8" s="132"/>
      <c r="C8" s="132"/>
      <c r="D8" s="132"/>
      <c r="E8" s="132"/>
      <c r="G8" s="129"/>
      <c r="H8" s="129"/>
      <c r="I8" s="129"/>
      <c r="J8" s="129"/>
      <c r="L8" s="129"/>
      <c r="M8" s="129"/>
      <c r="N8" s="129"/>
      <c r="O8" s="129"/>
      <c r="Q8" s="129"/>
      <c r="R8" s="129"/>
      <c r="S8" s="129"/>
      <c r="T8" s="129"/>
      <c r="X8" s="120" t="s">
        <v>7</v>
      </c>
      <c r="AA8" s="124">
        <f>'10_analysis_time_series_categor'!C4</f>
        <v>827652.06</v>
      </c>
      <c r="AB8" s="124">
        <f>'10_analysis_time_series_categor'!C7</f>
        <v>1023441.51</v>
      </c>
      <c r="AC8" s="124">
        <f>'10_analysis_time_series_categor'!C10</f>
        <v>1277305.25</v>
      </c>
      <c r="AD8" s="124">
        <f>'10_analysis_time_series_categor'!C13</f>
        <v>1616158.67</v>
      </c>
    </row>
    <row r="9" spans="1:39" x14ac:dyDescent="0.45">
      <c r="B9" s="132"/>
      <c r="C9" s="132"/>
      <c r="D9" s="132"/>
      <c r="E9" s="132"/>
      <c r="G9" s="129"/>
      <c r="H9" s="129"/>
      <c r="I9" s="129"/>
      <c r="J9" s="129"/>
      <c r="L9" s="129"/>
      <c r="M9" s="129"/>
      <c r="N9" s="129"/>
      <c r="O9" s="129"/>
      <c r="Q9" s="129"/>
      <c r="R9" s="129"/>
      <c r="S9" s="129"/>
      <c r="T9" s="129"/>
      <c r="X9" s="120" t="s">
        <v>275</v>
      </c>
      <c r="AA9" s="125">
        <f>SUM(AA6:AA8)</f>
        <v>2259450.89</v>
      </c>
      <c r="AB9" s="125">
        <f t="shared" ref="AB9:AD9" si="0">SUM(AB6:AB8)</f>
        <v>2677438.7000000002</v>
      </c>
      <c r="AC9" s="125">
        <f t="shared" si="0"/>
        <v>3405746.44</v>
      </c>
      <c r="AD9" s="125">
        <f t="shared" si="0"/>
        <v>4299865.87</v>
      </c>
    </row>
    <row r="10" spans="1:39" x14ac:dyDescent="0.45">
      <c r="B10" s="132"/>
      <c r="C10" s="132"/>
      <c r="D10" s="132"/>
      <c r="E10" s="132"/>
      <c r="G10" s="129"/>
      <c r="H10" s="129"/>
      <c r="I10" s="129"/>
      <c r="J10" s="129"/>
      <c r="L10" s="129"/>
      <c r="M10" s="129"/>
      <c r="N10" s="129"/>
      <c r="O10" s="129"/>
      <c r="Q10" s="129"/>
      <c r="R10" s="129"/>
      <c r="S10" s="129"/>
      <c r="T10" s="129"/>
    </row>
    <row r="11" spans="1:39" x14ac:dyDescent="0.45">
      <c r="B11" s="132"/>
      <c r="C11" s="132"/>
      <c r="D11" s="132"/>
      <c r="E11" s="132"/>
      <c r="G11" s="129"/>
      <c r="H11" s="129"/>
      <c r="I11" s="129"/>
      <c r="J11" s="129"/>
      <c r="L11" s="129"/>
      <c r="M11" s="129"/>
      <c r="N11" s="129"/>
      <c r="O11" s="129"/>
      <c r="Q11" s="129"/>
      <c r="R11" s="129"/>
      <c r="S11" s="129"/>
      <c r="T11" s="129"/>
      <c r="X11" s="120" t="s">
        <v>215</v>
      </c>
      <c r="AA11" s="63">
        <f>'P&amp;L'!K14</f>
        <v>0.11019999999999999</v>
      </c>
      <c r="AB11" s="63">
        <f>'P&amp;L'!L14</f>
        <v>0.1148</v>
      </c>
      <c r="AC11" s="63">
        <f>'P&amp;L'!M14</f>
        <v>0.1195</v>
      </c>
      <c r="AD11" s="63">
        <f>'P&amp;L'!N14</f>
        <v>0.1173</v>
      </c>
    </row>
    <row r="12" spans="1:39" x14ac:dyDescent="0.45">
      <c r="B12" s="132"/>
      <c r="C12" s="132"/>
      <c r="D12" s="132"/>
      <c r="E12" s="132"/>
      <c r="G12" s="129"/>
      <c r="H12" s="129"/>
      <c r="I12" s="129"/>
      <c r="J12" s="129"/>
      <c r="L12" s="129"/>
      <c r="M12" s="129"/>
      <c r="N12" s="129"/>
      <c r="O12" s="129"/>
      <c r="Q12" s="129"/>
      <c r="R12" s="129"/>
      <c r="S12" s="129"/>
      <c r="T12" s="129"/>
    </row>
    <row r="13" spans="1:39" x14ac:dyDescent="0.45">
      <c r="B13" s="132"/>
      <c r="C13" s="132"/>
      <c r="D13" s="132"/>
      <c r="E13" s="132"/>
      <c r="G13" s="129"/>
      <c r="H13" s="129"/>
      <c r="I13" s="129"/>
      <c r="J13" s="129"/>
      <c r="L13" s="129"/>
      <c r="M13" s="129"/>
      <c r="N13" s="129"/>
      <c r="O13" s="129"/>
      <c r="Q13" s="129"/>
      <c r="R13" s="129"/>
      <c r="S13" s="129"/>
      <c r="T13" s="129"/>
      <c r="X13" s="122" t="s">
        <v>188</v>
      </c>
      <c r="Y13" s="123"/>
      <c r="Z13" s="123"/>
      <c r="AA13" s="123"/>
      <c r="AB13" s="123"/>
      <c r="AC13" s="123"/>
      <c r="AD13" s="123"/>
      <c r="AE13" s="123"/>
      <c r="AF13" s="123"/>
      <c r="AG13" s="123"/>
      <c r="AH13" s="123"/>
      <c r="AI13" s="123"/>
      <c r="AJ13" s="123"/>
      <c r="AK13" s="123"/>
      <c r="AL13" s="123"/>
      <c r="AM13" s="123"/>
    </row>
    <row r="15" spans="1:39" x14ac:dyDescent="0.45">
      <c r="AA15" s="57" t="s">
        <v>228</v>
      </c>
      <c r="AB15" s="57" t="s">
        <v>229</v>
      </c>
      <c r="AC15" s="57"/>
      <c r="AD15" s="57"/>
    </row>
    <row r="16" spans="1:39" x14ac:dyDescent="0.45">
      <c r="X16" s="120" t="s">
        <v>9</v>
      </c>
      <c r="AA16" s="63">
        <f>'03_cateogry_analysis'!E3/100</f>
        <v>0.32520000000000004</v>
      </c>
      <c r="AB16" s="63">
        <f>'07_profit_analysis'!F4/100</f>
        <v>0.19440000000000002</v>
      </c>
    </row>
    <row r="17" spans="2:39" x14ac:dyDescent="0.45">
      <c r="X17" s="120" t="s">
        <v>8</v>
      </c>
      <c r="AA17" s="63">
        <f>'03_cateogry_analysis'!E4/100</f>
        <v>0.29960000000000003</v>
      </c>
      <c r="AB17" s="63">
        <f>'07_profit_analysis'!F3/100</f>
        <v>0.3533</v>
      </c>
    </row>
    <row r="18" spans="2:39" x14ac:dyDescent="0.45">
      <c r="X18" s="120" t="s">
        <v>7</v>
      </c>
      <c r="AA18" s="63">
        <f>'03_cateogry_analysis'!E2/100</f>
        <v>0.37530000000000002</v>
      </c>
      <c r="AB18" s="63">
        <f>'07_profit_analysis'!F2/100</f>
        <v>0.45229999999999998</v>
      </c>
    </row>
    <row r="20" spans="2:39" ht="18" x14ac:dyDescent="0.5">
      <c r="B20" s="128" t="s">
        <v>306</v>
      </c>
      <c r="C20" s="126"/>
      <c r="D20" s="126"/>
      <c r="E20" s="126"/>
      <c r="F20" s="126"/>
      <c r="G20" s="126"/>
      <c r="H20" s="126"/>
      <c r="I20" s="126"/>
      <c r="J20" s="126"/>
      <c r="M20" s="128" t="s">
        <v>307</v>
      </c>
      <c r="N20" s="126"/>
      <c r="O20" s="126"/>
      <c r="P20" s="126"/>
      <c r="Q20" s="126"/>
      <c r="R20" s="126"/>
      <c r="S20" s="126"/>
      <c r="T20" s="126"/>
      <c r="U20" s="126"/>
      <c r="X20" s="122" t="s">
        <v>301</v>
      </c>
      <c r="Y20" s="123"/>
      <c r="Z20" s="123"/>
      <c r="AA20" s="123"/>
      <c r="AB20" s="123"/>
      <c r="AC20" s="123"/>
      <c r="AD20" s="123"/>
      <c r="AE20" s="123"/>
      <c r="AF20" s="123"/>
      <c r="AG20" s="123"/>
      <c r="AH20" s="123"/>
      <c r="AI20" s="123"/>
      <c r="AJ20" s="123"/>
      <c r="AK20" s="123"/>
      <c r="AL20" s="123"/>
      <c r="AM20" s="123"/>
    </row>
    <row r="22" spans="2:39" x14ac:dyDescent="0.45">
      <c r="X22" s="120" t="s">
        <v>25</v>
      </c>
      <c r="Y22" s="120" t="s">
        <v>302</v>
      </c>
      <c r="Z22" s="120" t="s">
        <v>303</v>
      </c>
      <c r="AA22" s="120" t="s">
        <v>304</v>
      </c>
      <c r="AB22" s="120" t="s">
        <v>305</v>
      </c>
    </row>
    <row r="23" spans="2:39" x14ac:dyDescent="0.45">
      <c r="X23" s="120" t="str">
        <f>'04_product_subcategory_analysis'!B18</f>
        <v>Furniture</v>
      </c>
      <c r="Y23" s="120" t="str">
        <f>'04_product_subcategory_analysis'!A18</f>
        <v>Tables</v>
      </c>
      <c r="Z23" s="120" t="str">
        <f t="shared" ref="Z23:Z39" si="1">Y23 &amp; " (" &amp; X23 &amp; ")"</f>
        <v>Tables (Furniture)</v>
      </c>
      <c r="AA23" s="63">
        <f>'04_product_subcategory_analysis'!E18/100</f>
        <v>-0.08</v>
      </c>
      <c r="AB23" s="120">
        <f>0</f>
        <v>0</v>
      </c>
    </row>
    <row r="24" spans="2:39" x14ac:dyDescent="0.45">
      <c r="X24" s="120" t="str">
        <f>'04_product_subcategory_analysis'!B17</f>
        <v>Technology</v>
      </c>
      <c r="Y24" s="120" t="str">
        <f>'04_product_subcategory_analysis'!A17</f>
        <v>Machines</v>
      </c>
      <c r="Z24" s="120" t="str">
        <f t="shared" si="1"/>
        <v>Machines (Technology)</v>
      </c>
      <c r="AA24" s="63">
        <f>'04_product_subcategory_analysis'!E17/100</f>
        <v>0.08</v>
      </c>
      <c r="AB24" s="120">
        <f>0</f>
        <v>0</v>
      </c>
    </row>
    <row r="25" spans="2:39" x14ac:dyDescent="0.45">
      <c r="X25" s="120" t="str">
        <f>'04_product_subcategory_analysis'!B15</f>
        <v>Office Supplies</v>
      </c>
      <c r="Y25" s="120" t="str">
        <f>'04_product_subcategory_analysis'!A15</f>
        <v>Supplies</v>
      </c>
      <c r="Z25" s="120" t="str">
        <f t="shared" si="1"/>
        <v>Supplies (Office Supplies)</v>
      </c>
      <c r="AA25" s="63">
        <f>'04_product_subcategory_analysis'!E15/100</f>
        <v>0.09</v>
      </c>
      <c r="AB25" s="120">
        <f>0</f>
        <v>0</v>
      </c>
    </row>
    <row r="26" spans="2:39" x14ac:dyDescent="0.45">
      <c r="X26" s="120" t="str">
        <f>'04_product_subcategory_analysis'!B16</f>
        <v>Furniture</v>
      </c>
      <c r="Y26" s="120" t="str">
        <f>'04_product_subcategory_analysis'!A16</f>
        <v>Chairs</v>
      </c>
      <c r="Z26" s="120" t="str">
        <f t="shared" si="1"/>
        <v>Chairs (Furniture)</v>
      </c>
      <c r="AA26" s="63">
        <f>'04_product_subcategory_analysis'!E16/100</f>
        <v>0.09</v>
      </c>
      <c r="AB26" s="120">
        <f>0</f>
        <v>0</v>
      </c>
    </row>
    <row r="27" spans="2:39" x14ac:dyDescent="0.45">
      <c r="X27" s="120" t="str">
        <f>'04_product_subcategory_analysis'!B14</f>
        <v>Office Supplies</v>
      </c>
      <c r="Y27" s="120" t="str">
        <f>'04_product_subcategory_analysis'!A14</f>
        <v>Storage</v>
      </c>
      <c r="Z27" s="120" t="str">
        <f t="shared" si="1"/>
        <v>Storage (Office Supplies)</v>
      </c>
      <c r="AA27" s="63">
        <f>'04_product_subcategory_analysis'!E14/100</f>
        <v>0.1</v>
      </c>
      <c r="AB27" s="120">
        <f>0</f>
        <v>0</v>
      </c>
    </row>
    <row r="28" spans="2:39" x14ac:dyDescent="0.45">
      <c r="X28" s="120" t="str">
        <f>'04_product_subcategory_analysis'!B13</f>
        <v>Furniture</v>
      </c>
      <c r="Y28" s="120" t="str">
        <f>'04_product_subcategory_analysis'!A13</f>
        <v>Bookcases</v>
      </c>
      <c r="Z28" s="120" t="str">
        <f t="shared" si="1"/>
        <v>Bookcases (Furniture)</v>
      </c>
      <c r="AA28" s="63">
        <f>'04_product_subcategory_analysis'!E13/100</f>
        <v>0.11</v>
      </c>
      <c r="AB28" s="120">
        <f>0</f>
        <v>0</v>
      </c>
    </row>
    <row r="29" spans="2:39" x14ac:dyDescent="0.45">
      <c r="X29" s="120" t="str">
        <f>'04_product_subcategory_analysis'!B12</f>
        <v>Furniture</v>
      </c>
      <c r="Y29" s="120" t="str">
        <f>'04_product_subcategory_analysis'!A12</f>
        <v>Furnishings</v>
      </c>
      <c r="Z29" s="120" t="str">
        <f t="shared" si="1"/>
        <v>Furnishings (Furniture)</v>
      </c>
      <c r="AA29" s="63">
        <f>'04_product_subcategory_analysis'!E12/100</f>
        <v>0.12</v>
      </c>
      <c r="AB29" s="120">
        <f>0</f>
        <v>0</v>
      </c>
    </row>
    <row r="30" spans="2:39" x14ac:dyDescent="0.45">
      <c r="X30" s="120" t="str">
        <f>'04_product_subcategory_analysis'!B11</f>
        <v>Technology</v>
      </c>
      <c r="Y30" s="120" t="str">
        <f>'04_product_subcategory_analysis'!A11</f>
        <v>Phones</v>
      </c>
      <c r="Z30" s="120" t="str">
        <f t="shared" si="1"/>
        <v>Phones (Technology)</v>
      </c>
      <c r="AA30" s="63">
        <f>'04_product_subcategory_analysis'!E11/100</f>
        <v>0.13</v>
      </c>
      <c r="AB30" s="120">
        <f>0</f>
        <v>0</v>
      </c>
    </row>
    <row r="31" spans="2:39" x14ac:dyDescent="0.45">
      <c r="X31" s="120" t="str">
        <f>'04_product_subcategory_analysis'!B9</f>
        <v>Office Supplies</v>
      </c>
      <c r="Y31" s="120" t="str">
        <f>'04_product_subcategory_analysis'!A9</f>
        <v>Fasteners</v>
      </c>
      <c r="Z31" s="120" t="str">
        <f t="shared" si="1"/>
        <v>Fasteners (Office Supplies)</v>
      </c>
      <c r="AA31" s="63">
        <f>'04_product_subcategory_analysis'!E9/100</f>
        <v>0.14000000000000001</v>
      </c>
      <c r="AB31" s="120">
        <f>0</f>
        <v>0</v>
      </c>
    </row>
    <row r="32" spans="2:39" x14ac:dyDescent="0.45">
      <c r="X32" s="120" t="str">
        <f>'04_product_subcategory_analysis'!B10</f>
        <v>Office Supplies</v>
      </c>
      <c r="Y32" s="120" t="str">
        <f>'04_product_subcategory_analysis'!A10</f>
        <v>Appliances</v>
      </c>
      <c r="Z32" s="120" t="str">
        <f t="shared" si="1"/>
        <v>Appliances (Office Supplies)</v>
      </c>
      <c r="AA32" s="63">
        <f>'04_product_subcategory_analysis'!E10/100</f>
        <v>0.14000000000000001</v>
      </c>
      <c r="AB32" s="120">
        <f>0</f>
        <v>0</v>
      </c>
    </row>
    <row r="33" spans="2:39" x14ac:dyDescent="0.45">
      <c r="X33" s="120" t="str">
        <f>'04_product_subcategory_analysis'!B7</f>
        <v>Office Supplies</v>
      </c>
      <c r="Y33" s="120" t="str">
        <f>'04_product_subcategory_analysis'!A7</f>
        <v>Binders</v>
      </c>
      <c r="Z33" s="120" t="str">
        <f t="shared" si="1"/>
        <v>Binders (Office Supplies)</v>
      </c>
      <c r="AA33" s="63">
        <f>'04_product_subcategory_analysis'!E7/100</f>
        <v>0.16</v>
      </c>
      <c r="AB33" s="120">
        <f>0</f>
        <v>0</v>
      </c>
    </row>
    <row r="34" spans="2:39" x14ac:dyDescent="0.45">
      <c r="X34" s="120" t="str">
        <f>'04_product_subcategory_analysis'!B8</f>
        <v>Office Supplies</v>
      </c>
      <c r="Y34" s="120" t="str">
        <f>'04_product_subcategory_analysis'!A8</f>
        <v>Art</v>
      </c>
      <c r="Z34" s="120" t="str">
        <f t="shared" si="1"/>
        <v>Art (Office Supplies)</v>
      </c>
      <c r="AA34" s="63">
        <f>'04_product_subcategory_analysis'!E8/100</f>
        <v>0.16</v>
      </c>
      <c r="AB34" s="120">
        <f>0</f>
        <v>0</v>
      </c>
    </row>
    <row r="35" spans="2:39" x14ac:dyDescent="0.45">
      <c r="X35" s="120" t="str">
        <f>'04_product_subcategory_analysis'!B4</f>
        <v>Office Supplies</v>
      </c>
      <c r="Y35" s="120" t="str">
        <f>'04_product_subcategory_analysis'!A4</f>
        <v>Envelopes</v>
      </c>
      <c r="Z35" s="120" t="str">
        <f t="shared" si="1"/>
        <v>Envelopes (Office Supplies)</v>
      </c>
      <c r="AA35" s="63">
        <f>'04_product_subcategory_analysis'!E4/100</f>
        <v>0.17</v>
      </c>
      <c r="AB35" s="120">
        <f>0</f>
        <v>0</v>
      </c>
    </row>
    <row r="36" spans="2:39" x14ac:dyDescent="0.45">
      <c r="X36" s="120" t="str">
        <f>'04_product_subcategory_analysis'!B5</f>
        <v>Technology</v>
      </c>
      <c r="Y36" s="120" t="str">
        <f>'04_product_subcategory_analysis'!A5</f>
        <v>Copiers</v>
      </c>
      <c r="Z36" s="120" t="str">
        <f t="shared" si="1"/>
        <v>Copiers (Technology)</v>
      </c>
      <c r="AA36" s="63">
        <f>'04_product_subcategory_analysis'!E5/100</f>
        <v>0.17</v>
      </c>
      <c r="AB36" s="120">
        <f>0</f>
        <v>0</v>
      </c>
    </row>
    <row r="37" spans="2:39" x14ac:dyDescent="0.45">
      <c r="X37" s="120" t="str">
        <f>'04_product_subcategory_analysis'!B6</f>
        <v>Technology</v>
      </c>
      <c r="Y37" s="120" t="str">
        <f>'04_product_subcategory_analysis'!A6</f>
        <v>Accessories</v>
      </c>
      <c r="Z37" s="120" t="str">
        <f t="shared" si="1"/>
        <v>Accessories (Technology)</v>
      </c>
      <c r="AA37" s="63">
        <f>'04_product_subcategory_analysis'!E6/100</f>
        <v>0.17</v>
      </c>
      <c r="AB37" s="120">
        <f>0</f>
        <v>0</v>
      </c>
    </row>
    <row r="38" spans="2:39" x14ac:dyDescent="0.45">
      <c r="X38" s="120" t="str">
        <f>'04_product_subcategory_analysis'!B3</f>
        <v>Office Supplies</v>
      </c>
      <c r="Y38" s="120" t="str">
        <f>'04_product_subcategory_analysis'!A3</f>
        <v>Labels</v>
      </c>
      <c r="Z38" s="120" t="str">
        <f t="shared" si="1"/>
        <v>Labels (Office Supplies)</v>
      </c>
      <c r="AA38" s="63">
        <f>'04_product_subcategory_analysis'!E3/100</f>
        <v>0.2</v>
      </c>
      <c r="AB38" s="120">
        <f>0</f>
        <v>0</v>
      </c>
    </row>
    <row r="39" spans="2:39" x14ac:dyDescent="0.45">
      <c r="X39" s="120" t="str">
        <f>'04_product_subcategory_analysis'!B2</f>
        <v>Office Supplies</v>
      </c>
      <c r="Y39" s="120" t="str">
        <f>'04_product_subcategory_analysis'!A2</f>
        <v>Paper</v>
      </c>
      <c r="Z39" s="120" t="str">
        <f t="shared" si="1"/>
        <v>Paper (Office Supplies)</v>
      </c>
      <c r="AA39" s="63">
        <f>'04_product_subcategory_analysis'!E2/100</f>
        <v>0.24</v>
      </c>
      <c r="AB39" s="120">
        <f>0</f>
        <v>0</v>
      </c>
    </row>
    <row r="41" spans="2:39" x14ac:dyDescent="0.45">
      <c r="X41" s="122" t="s">
        <v>309</v>
      </c>
      <c r="Y41" s="123"/>
      <c r="Z41" s="123"/>
      <c r="AA41" s="123"/>
      <c r="AB41" s="123"/>
      <c r="AC41" s="123"/>
      <c r="AD41" s="123"/>
      <c r="AE41" s="123"/>
      <c r="AF41" s="123"/>
      <c r="AG41" s="123"/>
      <c r="AH41" s="123"/>
      <c r="AI41" s="123"/>
      <c r="AJ41" s="123"/>
      <c r="AK41" s="123"/>
      <c r="AL41" s="123"/>
      <c r="AM41" s="123"/>
    </row>
    <row r="43" spans="2:39" x14ac:dyDescent="0.45">
      <c r="X43" s="120" t="s">
        <v>23</v>
      </c>
      <c r="Y43" s="120" t="s">
        <v>183</v>
      </c>
      <c r="Z43" s="120" t="s">
        <v>215</v>
      </c>
    </row>
    <row r="44" spans="2:39" x14ac:dyDescent="0.45">
      <c r="X44" s="120" t="str">
        <f>'05_regional_analysis'!A2</f>
        <v>Central</v>
      </c>
      <c r="Y44" s="9">
        <f>'05_regional_analysis'!B2</f>
        <v>2822302.52</v>
      </c>
      <c r="Z44" s="63">
        <f>'05_regional_analysis'!D2/100</f>
        <v>0.11</v>
      </c>
    </row>
    <row r="45" spans="2:39" x14ac:dyDescent="0.45">
      <c r="X45" s="120" t="str">
        <f>'05_regional_analysis'!A3</f>
        <v>South</v>
      </c>
      <c r="Y45" s="9">
        <f>'05_regional_analysis'!B3</f>
        <v>1600907.04</v>
      </c>
      <c r="Z45" s="63">
        <f>'05_regional_analysis'!D3/100</f>
        <v>0.09</v>
      </c>
    </row>
    <row r="46" spans="2:39" ht="18" x14ac:dyDescent="0.5">
      <c r="B46" s="128" t="s">
        <v>308</v>
      </c>
      <c r="C46" s="126"/>
      <c r="D46" s="126"/>
      <c r="E46" s="126"/>
      <c r="F46" s="126"/>
      <c r="G46" s="126"/>
      <c r="H46" s="126"/>
      <c r="I46" s="126"/>
      <c r="J46" s="126"/>
      <c r="M46" s="128" t="s">
        <v>310</v>
      </c>
      <c r="N46" s="126"/>
      <c r="O46" s="126"/>
      <c r="P46" s="126"/>
      <c r="Q46" s="126"/>
      <c r="R46" s="126"/>
      <c r="S46" s="126"/>
      <c r="T46" s="126"/>
      <c r="U46" s="126"/>
      <c r="X46" s="120" t="str">
        <f>'05_regional_analysis'!A4</f>
        <v>North</v>
      </c>
      <c r="Y46" s="9">
        <f>'05_regional_analysis'!B4</f>
        <v>1248165.6000000001</v>
      </c>
      <c r="Z46" s="63">
        <f>'05_regional_analysis'!D4/100</f>
        <v>0.16</v>
      </c>
    </row>
    <row r="47" spans="2:39" x14ac:dyDescent="0.45">
      <c r="X47" s="120" t="str">
        <f>'05_regional_analysis'!A5</f>
        <v>Oceania</v>
      </c>
      <c r="Y47" s="9">
        <f>'05_regional_analysis'!B5</f>
        <v>1100184.6100000001</v>
      </c>
      <c r="Z47" s="63">
        <f>'05_regional_analysis'!D5/100</f>
        <v>0.11</v>
      </c>
    </row>
    <row r="48" spans="2:39" x14ac:dyDescent="0.45">
      <c r="X48" s="120" t="str">
        <f>'05_regional_analysis'!A6</f>
        <v>Southeast Asia</v>
      </c>
      <c r="Y48" s="9">
        <f>'05_regional_analysis'!B6</f>
        <v>884423.17</v>
      </c>
      <c r="Z48" s="63">
        <f>'05_regional_analysis'!D6/100</f>
        <v>0.02</v>
      </c>
    </row>
    <row r="49" spans="24:39" x14ac:dyDescent="0.45">
      <c r="X49" s="120" t="str">
        <f>'05_regional_analysis'!A7</f>
        <v>North Asia</v>
      </c>
      <c r="Y49" s="9">
        <f>'05_regional_analysis'!B7</f>
        <v>848309.78</v>
      </c>
      <c r="Z49" s="63">
        <f>'05_regional_analysis'!D7/100</f>
        <v>0.2</v>
      </c>
    </row>
    <row r="50" spans="24:39" x14ac:dyDescent="0.45">
      <c r="X50" s="120" t="str">
        <f>'05_regional_analysis'!A8</f>
        <v>EMEA</v>
      </c>
      <c r="Y50" s="9">
        <f>'05_regional_analysis'!B8</f>
        <v>806161.31</v>
      </c>
      <c r="Z50" s="63">
        <f>'05_regional_analysis'!D8/100</f>
        <v>0.05</v>
      </c>
    </row>
    <row r="51" spans="24:39" x14ac:dyDescent="0.45">
      <c r="X51" s="120" t="str">
        <f>'05_regional_analysis'!A9</f>
        <v>Africa</v>
      </c>
      <c r="Y51" s="9">
        <f>'05_regional_analysis'!B9</f>
        <v>783773.21</v>
      </c>
      <c r="Z51" s="63">
        <f>'05_regional_analysis'!D9/100</f>
        <v>0.11</v>
      </c>
    </row>
    <row r="52" spans="24:39" x14ac:dyDescent="0.45">
      <c r="X52" s="120" t="str">
        <f>'05_regional_analysis'!A10</f>
        <v>Central Asia</v>
      </c>
      <c r="Y52" s="9">
        <f>'05_regional_analysis'!B10</f>
        <v>752826.57</v>
      </c>
      <c r="Z52" s="63">
        <f>'05_regional_analysis'!D10/100</f>
        <v>0.18</v>
      </c>
    </row>
    <row r="53" spans="24:39" x14ac:dyDescent="0.45">
      <c r="X53" s="120" t="str">
        <f>'05_regional_analysis'!A11</f>
        <v>West</v>
      </c>
      <c r="Y53" s="9">
        <f>'05_regional_analysis'!B11</f>
        <v>725457.82</v>
      </c>
      <c r="Z53" s="63">
        <f>'05_regional_analysis'!D11/100</f>
        <v>0.15</v>
      </c>
    </row>
    <row r="54" spans="24:39" x14ac:dyDescent="0.45">
      <c r="X54" s="120" t="str">
        <f>'05_regional_analysis'!A12</f>
        <v>East</v>
      </c>
      <c r="Y54" s="9">
        <f>'05_regional_analysis'!B12</f>
        <v>678781.24</v>
      </c>
      <c r="Z54" s="63">
        <f>'05_regional_analysis'!D12/100</f>
        <v>0.13</v>
      </c>
    </row>
    <row r="55" spans="24:39" x14ac:dyDescent="0.45">
      <c r="X55" s="120" t="str">
        <f>'05_regional_analysis'!A13</f>
        <v>Caribbean</v>
      </c>
      <c r="Y55" s="9">
        <f>'05_regional_analysis'!B13</f>
        <v>324280.86</v>
      </c>
      <c r="Z55" s="63">
        <f>'05_regional_analysis'!D13/100</f>
        <v>0.11</v>
      </c>
    </row>
    <row r="56" spans="24:39" x14ac:dyDescent="0.45">
      <c r="X56" s="120" t="str">
        <f>'05_regional_analysis'!A14</f>
        <v>Canada</v>
      </c>
      <c r="Y56" s="9">
        <f>'05_regional_analysis'!B14</f>
        <v>66928.17</v>
      </c>
      <c r="Z56" s="63">
        <f>'05_regional_analysis'!D14/100</f>
        <v>0.27</v>
      </c>
    </row>
    <row r="58" spans="24:39" x14ac:dyDescent="0.45">
      <c r="X58" s="122" t="s">
        <v>311</v>
      </c>
      <c r="Y58" s="123"/>
      <c r="Z58" s="123"/>
      <c r="AA58" s="123"/>
      <c r="AB58" s="123"/>
      <c r="AC58" s="123"/>
      <c r="AD58" s="123"/>
      <c r="AE58" s="123"/>
      <c r="AF58" s="123"/>
      <c r="AG58" s="123"/>
      <c r="AH58" s="123"/>
      <c r="AI58" s="123"/>
      <c r="AJ58" s="123"/>
      <c r="AK58" s="123"/>
      <c r="AL58" s="123"/>
      <c r="AM58" s="123"/>
    </row>
    <row r="60" spans="24:39" x14ac:dyDescent="0.45">
      <c r="Y60" s="120" t="s">
        <v>312</v>
      </c>
    </row>
    <row r="61" spans="24:39" x14ac:dyDescent="0.45">
      <c r="X61" s="120" t="str">
        <f>'06_customer_segment_analysis'!A2</f>
        <v>Consumer</v>
      </c>
      <c r="Y61" s="63">
        <f>'06_customer_segment_analysis'!E2%</f>
        <v>0.51479999999999992</v>
      </c>
    </row>
    <row r="62" spans="24:39" x14ac:dyDescent="0.45">
      <c r="X62" s="120" t="str">
        <f>'06_customer_segment_analysis'!A3</f>
        <v>Corporate</v>
      </c>
      <c r="Y62" s="63">
        <f>'06_customer_segment_analysis'!E3%</f>
        <v>0.30249999999999999</v>
      </c>
    </row>
    <row r="63" spans="24:39" x14ac:dyDescent="0.45">
      <c r="X63" s="120" t="str">
        <f>'06_customer_segment_analysis'!A4</f>
        <v>Home Office</v>
      </c>
      <c r="Y63" s="63">
        <f>'06_customer_segment_analysis'!E4%</f>
        <v>0.1827</v>
      </c>
    </row>
    <row r="66" spans="2:39" x14ac:dyDescent="0.45">
      <c r="X66" s="122" t="s">
        <v>313</v>
      </c>
      <c r="Y66" s="123"/>
      <c r="Z66" s="123"/>
      <c r="AA66" s="123"/>
      <c r="AB66" s="123"/>
      <c r="AC66" s="123"/>
      <c r="AD66" s="123"/>
      <c r="AE66" s="123"/>
      <c r="AF66" s="123"/>
      <c r="AG66" s="123"/>
      <c r="AH66" s="123"/>
      <c r="AI66" s="123"/>
      <c r="AJ66" s="123"/>
      <c r="AK66" s="123"/>
      <c r="AL66" s="123"/>
      <c r="AM66" s="123"/>
    </row>
    <row r="68" spans="2:39" x14ac:dyDescent="0.45">
      <c r="X68" s="120" t="s">
        <v>314</v>
      </c>
      <c r="Y68" s="120">
        <v>374088.33069000009</v>
      </c>
    </row>
    <row r="69" spans="2:39" x14ac:dyDescent="0.45">
      <c r="X69" s="120" t="s">
        <v>315</v>
      </c>
      <c r="Y69" s="120">
        <f>Inputs!L125</f>
        <v>156739.66512676061</v>
      </c>
    </row>
    <row r="70" spans="2:39" x14ac:dyDescent="0.45">
      <c r="X70" s="120" t="s">
        <v>316</v>
      </c>
      <c r="Y70" s="120">
        <f>Inputs!G137</f>
        <v>113612.10690000001</v>
      </c>
    </row>
    <row r="71" spans="2:39" x14ac:dyDescent="0.45">
      <c r="X71" s="120" t="s">
        <v>317</v>
      </c>
      <c r="Y71" s="120">
        <f>Inputs!G155</f>
        <v>46496.66349999993</v>
      </c>
    </row>
    <row r="72" spans="2:39" x14ac:dyDescent="0.45">
      <c r="X72" s="120" t="s">
        <v>292</v>
      </c>
      <c r="Y72" s="120">
        <f>SUM(Y68:Y71)</f>
        <v>690936.76621676062</v>
      </c>
    </row>
    <row r="74" spans="2:39" ht="18" x14ac:dyDescent="0.5">
      <c r="B74" s="128" t="s">
        <v>319</v>
      </c>
      <c r="C74" s="126"/>
      <c r="D74" s="126"/>
      <c r="E74" s="126"/>
      <c r="F74" s="126"/>
      <c r="G74" s="126"/>
      <c r="H74" s="126"/>
      <c r="I74" s="126"/>
      <c r="J74" s="126"/>
      <c r="M74" s="128" t="s">
        <v>318</v>
      </c>
      <c r="N74" s="126"/>
      <c r="O74" s="126"/>
      <c r="P74" s="126"/>
      <c r="Q74" s="126"/>
      <c r="R74" s="126"/>
      <c r="S74" s="126"/>
      <c r="T74" s="126"/>
      <c r="U74" s="126"/>
      <c r="X74" s="122" t="s">
        <v>320</v>
      </c>
      <c r="Y74" s="123"/>
      <c r="Z74" s="123"/>
      <c r="AA74" s="123"/>
      <c r="AB74" s="123"/>
      <c r="AC74" s="123"/>
      <c r="AD74" s="123"/>
      <c r="AE74" s="123"/>
      <c r="AF74" s="123"/>
      <c r="AG74" s="123"/>
      <c r="AH74" s="123"/>
      <c r="AI74" s="123"/>
      <c r="AJ74" s="123"/>
      <c r="AK74" s="123"/>
      <c r="AL74" s="123"/>
      <c r="AM74" s="123"/>
    </row>
    <row r="76" spans="2:39" x14ac:dyDescent="0.45">
      <c r="X76" s="120" t="s">
        <v>321</v>
      </c>
      <c r="Y76" s="131">
        <f>'P&amp;L'!J34</f>
        <v>4299865.87</v>
      </c>
      <c r="Z76" s="120" t="s">
        <v>324</v>
      </c>
    </row>
    <row r="77" spans="2:39" x14ac:dyDescent="0.45">
      <c r="X77" s="120" t="s">
        <v>322</v>
      </c>
      <c r="Y77" s="63">
        <f>('P&amp;L'!J34-'P&amp;L'!I34)/'P&amp;L'!I34</f>
        <v>0.26253258518407907</v>
      </c>
    </row>
    <row r="78" spans="2:39" x14ac:dyDescent="0.45">
      <c r="X78" s="120" t="s">
        <v>212</v>
      </c>
      <c r="Y78" s="63">
        <f>'P&amp;L'!J30</f>
        <v>0.11725155743055771</v>
      </c>
    </row>
    <row r="79" spans="2:39" x14ac:dyDescent="0.45">
      <c r="X79" s="120" t="s">
        <v>323</v>
      </c>
      <c r="Y79" s="63">
        <f>_xlfn.RRI(3,'P&amp;L'!G34,'P&amp;L'!J34)</f>
        <v>0.23922642814936013</v>
      </c>
    </row>
    <row r="80" spans="2:39" x14ac:dyDescent="0.45">
      <c r="X80" s="120" t="s">
        <v>314</v>
      </c>
      <c r="Y80" s="120">
        <f>'P&amp;L'!K39</f>
        <v>473673.22423920006</v>
      </c>
    </row>
  </sheetData>
  <autoFilter ref="X22:AB39" xr:uid="{C18321E7-0A62-497F-BFDD-E1642DE5216D}">
    <sortState xmlns:xlrd2="http://schemas.microsoft.com/office/spreadsheetml/2017/richdata2" ref="X23:AB39">
      <sortCondition ref="AA22:AA39"/>
    </sortState>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8715-2471-4ECC-BD38-6FA9B9CC6657}">
  <sheetPr codeName="Sheet2"/>
  <dimension ref="A1:J18"/>
  <sheetViews>
    <sheetView workbookViewId="0">
      <selection activeCell="AB16" sqref="AB16"/>
    </sheetView>
  </sheetViews>
  <sheetFormatPr defaultRowHeight="14.5" x14ac:dyDescent="0.35"/>
  <cols>
    <col min="1" max="1" width="14.36328125" bestFit="1" customWidth="1"/>
    <col min="2" max="2" width="13" bestFit="1" customWidth="1"/>
    <col min="3" max="3" width="14.453125" bestFit="1" customWidth="1"/>
    <col min="4" max="4" width="12.26953125" bestFit="1" customWidth="1"/>
    <col min="5" max="5" width="14.26953125" bestFit="1" customWidth="1"/>
    <col min="6" max="6" width="10.453125" bestFit="1" customWidth="1"/>
    <col min="7" max="7" width="21.1796875" bestFit="1" customWidth="1"/>
    <col min="8" max="8" width="18.1796875" bestFit="1" customWidth="1"/>
    <col min="9" max="9" width="19.26953125" bestFit="1" customWidth="1"/>
    <col min="10" max="10" width="24.6328125" bestFit="1" customWidth="1"/>
  </cols>
  <sheetData>
    <row r="1" spans="1:10" x14ac:dyDescent="0.35">
      <c r="A1" t="s">
        <v>26</v>
      </c>
      <c r="B1" t="s">
        <v>25</v>
      </c>
      <c r="C1" t="s">
        <v>1</v>
      </c>
      <c r="D1" t="s">
        <v>2</v>
      </c>
      <c r="E1" t="s">
        <v>3</v>
      </c>
      <c r="F1" t="s">
        <v>177</v>
      </c>
      <c r="G1" t="s">
        <v>180</v>
      </c>
      <c r="H1" t="s">
        <v>181</v>
      </c>
      <c r="I1" t="s">
        <v>182</v>
      </c>
      <c r="J1" t="s">
        <v>178</v>
      </c>
    </row>
    <row r="2" spans="1:10" x14ac:dyDescent="0.35">
      <c r="A2" t="s">
        <v>125</v>
      </c>
      <c r="B2" t="s">
        <v>9</v>
      </c>
      <c r="C2">
        <v>757041.92</v>
      </c>
      <c r="D2">
        <v>-64083.39</v>
      </c>
      <c r="E2">
        <v>-8.4600000000000009</v>
      </c>
      <c r="F2">
        <v>0.28999999999999998</v>
      </c>
      <c r="G2">
        <v>245.55</v>
      </c>
      <c r="H2">
        <v>266.33999999999997</v>
      </c>
      <c r="I2">
        <v>-20.79</v>
      </c>
      <c r="J2" t="s">
        <v>237</v>
      </c>
    </row>
    <row r="3" spans="1:10" x14ac:dyDescent="0.35">
      <c r="A3" t="s">
        <v>166</v>
      </c>
      <c r="B3" t="s">
        <v>7</v>
      </c>
      <c r="C3">
        <v>779060.07</v>
      </c>
      <c r="D3">
        <v>58867.87</v>
      </c>
      <c r="E3">
        <v>7.56</v>
      </c>
      <c r="F3">
        <v>0.17</v>
      </c>
      <c r="G3">
        <v>158.80000000000001</v>
      </c>
      <c r="H3">
        <v>146.80000000000001</v>
      </c>
      <c r="I3">
        <v>12</v>
      </c>
      <c r="J3" t="s">
        <v>179</v>
      </c>
    </row>
    <row r="4" spans="1:10" x14ac:dyDescent="0.35">
      <c r="A4" t="s">
        <v>165</v>
      </c>
      <c r="B4" t="s">
        <v>8</v>
      </c>
      <c r="C4">
        <v>243074.22</v>
      </c>
      <c r="D4">
        <v>22583.26</v>
      </c>
      <c r="E4">
        <v>9.2899999999999991</v>
      </c>
      <c r="F4">
        <v>0.13</v>
      </c>
      <c r="G4">
        <v>28.45</v>
      </c>
      <c r="H4">
        <v>25.81</v>
      </c>
      <c r="I4">
        <v>2.64</v>
      </c>
      <c r="J4" t="s">
        <v>179</v>
      </c>
    </row>
    <row r="5" spans="1:10" x14ac:dyDescent="0.35">
      <c r="A5" t="s">
        <v>62</v>
      </c>
      <c r="B5" t="s">
        <v>9</v>
      </c>
      <c r="C5">
        <v>1501681.76</v>
      </c>
      <c r="D5">
        <v>140396.26999999999</v>
      </c>
      <c r="E5">
        <v>9.35</v>
      </c>
      <c r="F5">
        <v>0.16</v>
      </c>
      <c r="G5">
        <v>121.73</v>
      </c>
      <c r="H5">
        <v>110.35</v>
      </c>
      <c r="I5">
        <v>11.38</v>
      </c>
      <c r="J5" t="s">
        <v>179</v>
      </c>
    </row>
    <row r="6" spans="1:10" x14ac:dyDescent="0.35">
      <c r="A6" t="s">
        <v>164</v>
      </c>
      <c r="B6" t="s">
        <v>8</v>
      </c>
      <c r="C6">
        <v>1127085.8600000001</v>
      </c>
      <c r="D6">
        <v>108461.49</v>
      </c>
      <c r="E6">
        <v>9.6199999999999992</v>
      </c>
      <c r="F6">
        <v>0.14000000000000001</v>
      </c>
      <c r="G6">
        <v>66.62</v>
      </c>
      <c r="H6">
        <v>60.21</v>
      </c>
      <c r="I6">
        <v>6.41</v>
      </c>
      <c r="J6" t="s">
        <v>179</v>
      </c>
    </row>
    <row r="7" spans="1:10" x14ac:dyDescent="0.35">
      <c r="A7" t="s">
        <v>163</v>
      </c>
      <c r="B7" t="s">
        <v>9</v>
      </c>
      <c r="C7">
        <v>1466572.24</v>
      </c>
      <c r="D7">
        <v>161924.42000000001</v>
      </c>
      <c r="E7">
        <v>11.04</v>
      </c>
      <c r="F7">
        <v>0.15</v>
      </c>
      <c r="G7">
        <v>176.48</v>
      </c>
      <c r="H7">
        <v>157</v>
      </c>
      <c r="I7">
        <v>19.489999999999998</v>
      </c>
      <c r="J7" t="s">
        <v>179</v>
      </c>
    </row>
    <row r="8" spans="1:10" x14ac:dyDescent="0.35">
      <c r="A8" t="s">
        <v>162</v>
      </c>
      <c r="B8" t="s">
        <v>9</v>
      </c>
      <c r="C8">
        <v>385578.26</v>
      </c>
      <c r="D8">
        <v>46967.43</v>
      </c>
      <c r="E8">
        <v>12.18</v>
      </c>
      <c r="F8">
        <v>0.15</v>
      </c>
      <c r="G8">
        <v>34.35</v>
      </c>
      <c r="H8">
        <v>30.17</v>
      </c>
      <c r="I8">
        <v>4.18</v>
      </c>
      <c r="J8" t="s">
        <v>179</v>
      </c>
    </row>
    <row r="9" spans="1:10" x14ac:dyDescent="0.35">
      <c r="A9" t="s">
        <v>73</v>
      </c>
      <c r="B9" t="s">
        <v>7</v>
      </c>
      <c r="C9">
        <v>1706824.14</v>
      </c>
      <c r="D9">
        <v>216717.01</v>
      </c>
      <c r="E9">
        <v>12.7</v>
      </c>
      <c r="F9">
        <v>0.15</v>
      </c>
      <c r="G9">
        <v>143.79</v>
      </c>
      <c r="H9">
        <v>125.54</v>
      </c>
      <c r="I9">
        <v>18.260000000000002</v>
      </c>
      <c r="J9" t="s">
        <v>179</v>
      </c>
    </row>
    <row r="10" spans="1:10" x14ac:dyDescent="0.35">
      <c r="A10" t="s">
        <v>160</v>
      </c>
      <c r="B10" t="s">
        <v>8</v>
      </c>
      <c r="C10">
        <v>83242.320000000007</v>
      </c>
      <c r="D10">
        <v>11525.42</v>
      </c>
      <c r="E10">
        <v>13.85</v>
      </c>
      <c r="F10">
        <v>0.14000000000000001</v>
      </c>
      <c r="G10">
        <v>9.92</v>
      </c>
      <c r="H10">
        <v>8.5500000000000007</v>
      </c>
      <c r="I10">
        <v>1.37</v>
      </c>
      <c r="J10" t="s">
        <v>179</v>
      </c>
    </row>
    <row r="11" spans="1:10" x14ac:dyDescent="0.35">
      <c r="A11" t="s">
        <v>161</v>
      </c>
      <c r="B11" t="s">
        <v>8</v>
      </c>
      <c r="C11">
        <v>1011064.31</v>
      </c>
      <c r="D11">
        <v>141680.59</v>
      </c>
      <c r="E11">
        <v>14.01</v>
      </c>
      <c r="F11">
        <v>0.14000000000000001</v>
      </c>
      <c r="G11">
        <v>166.35</v>
      </c>
      <c r="H11">
        <v>143.04</v>
      </c>
      <c r="I11">
        <v>23.31</v>
      </c>
      <c r="J11" t="s">
        <v>179</v>
      </c>
    </row>
    <row r="12" spans="1:10" x14ac:dyDescent="0.35">
      <c r="A12" t="s">
        <v>159</v>
      </c>
      <c r="B12" t="s">
        <v>8</v>
      </c>
      <c r="C12">
        <v>372091.97</v>
      </c>
      <c r="D12">
        <v>57953.91</v>
      </c>
      <c r="E12">
        <v>15.58</v>
      </c>
      <c r="F12">
        <v>0.12</v>
      </c>
      <c r="G12">
        <v>22.83</v>
      </c>
      <c r="H12">
        <v>19.27</v>
      </c>
      <c r="I12">
        <v>3.56</v>
      </c>
      <c r="J12" t="s">
        <v>179</v>
      </c>
    </row>
    <row r="13" spans="1:10" x14ac:dyDescent="0.35">
      <c r="A13" t="s">
        <v>137</v>
      </c>
      <c r="B13" t="s">
        <v>8</v>
      </c>
      <c r="C13">
        <v>461911.51</v>
      </c>
      <c r="D13">
        <v>72449.850000000006</v>
      </c>
      <c r="E13">
        <v>15.68</v>
      </c>
      <c r="F13">
        <v>0.18</v>
      </c>
      <c r="G13">
        <v>21.56</v>
      </c>
      <c r="H13">
        <v>18.170000000000002</v>
      </c>
      <c r="I13">
        <v>3.38</v>
      </c>
      <c r="J13" t="s">
        <v>179</v>
      </c>
    </row>
    <row r="14" spans="1:10" x14ac:dyDescent="0.35">
      <c r="A14" t="s">
        <v>96</v>
      </c>
      <c r="B14" t="s">
        <v>7</v>
      </c>
      <c r="C14">
        <v>1509436.27</v>
      </c>
      <c r="D14">
        <v>258567.55</v>
      </c>
      <c r="E14">
        <v>17.13</v>
      </c>
      <c r="F14">
        <v>0.12</v>
      </c>
      <c r="G14">
        <v>202.5</v>
      </c>
      <c r="H14">
        <v>167.81</v>
      </c>
      <c r="I14">
        <v>34.69</v>
      </c>
      <c r="J14" t="s">
        <v>179</v>
      </c>
    </row>
    <row r="15" spans="1:10" x14ac:dyDescent="0.35">
      <c r="A15" t="s">
        <v>46</v>
      </c>
      <c r="B15" t="s">
        <v>7</v>
      </c>
      <c r="C15">
        <v>749237.02</v>
      </c>
      <c r="D15">
        <v>129626.31</v>
      </c>
      <c r="E15">
        <v>17.3</v>
      </c>
      <c r="F15">
        <v>0.12</v>
      </c>
      <c r="G15">
        <v>68.45</v>
      </c>
      <c r="H15">
        <v>56.61</v>
      </c>
      <c r="I15">
        <v>11.84</v>
      </c>
      <c r="J15" t="s">
        <v>179</v>
      </c>
    </row>
    <row r="16" spans="1:10" x14ac:dyDescent="0.35">
      <c r="A16" t="s">
        <v>158</v>
      </c>
      <c r="B16" t="s">
        <v>8</v>
      </c>
      <c r="C16">
        <v>170904.3</v>
      </c>
      <c r="D16">
        <v>29601.119999999999</v>
      </c>
      <c r="E16">
        <v>17.32</v>
      </c>
      <c r="F16">
        <v>0.13</v>
      </c>
      <c r="G16">
        <v>20.39</v>
      </c>
      <c r="H16">
        <v>16.86</v>
      </c>
      <c r="I16">
        <v>3.53</v>
      </c>
      <c r="J16" t="s">
        <v>179</v>
      </c>
    </row>
    <row r="17" spans="1:10" x14ac:dyDescent="0.35">
      <c r="A17" t="s">
        <v>157</v>
      </c>
      <c r="B17" t="s">
        <v>8</v>
      </c>
      <c r="C17">
        <v>73404.03</v>
      </c>
      <c r="D17">
        <v>15010.51</v>
      </c>
      <c r="E17">
        <v>20.45</v>
      </c>
      <c r="F17">
        <v>0.12</v>
      </c>
      <c r="G17">
        <v>7.87</v>
      </c>
      <c r="H17">
        <v>6.26</v>
      </c>
      <c r="I17">
        <v>1.61</v>
      </c>
      <c r="J17" t="s">
        <v>179</v>
      </c>
    </row>
    <row r="18" spans="1:10" x14ac:dyDescent="0.35">
      <c r="A18" t="s">
        <v>156</v>
      </c>
      <c r="B18" t="s">
        <v>8</v>
      </c>
      <c r="C18">
        <v>244291.72</v>
      </c>
      <c r="D18">
        <v>59207.68</v>
      </c>
      <c r="E18">
        <v>24.24</v>
      </c>
      <c r="F18">
        <v>0.11</v>
      </c>
      <c r="G18">
        <v>19.05</v>
      </c>
      <c r="H18">
        <v>14.43</v>
      </c>
      <c r="I18">
        <v>4.62</v>
      </c>
      <c r="J18" t="s">
        <v>179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EBCC-DB8C-44F2-8C92-FD13F43B4989}">
  <sheetPr codeName="Sheet3"/>
  <dimension ref="A1:A2"/>
  <sheetViews>
    <sheetView workbookViewId="0">
      <selection activeCell="AB16" sqref="AB16"/>
    </sheetView>
  </sheetViews>
  <sheetFormatPr defaultRowHeight="14.5" x14ac:dyDescent="0.35"/>
  <cols>
    <col min="1" max="1" width="11.81640625" bestFit="1" customWidth="1"/>
  </cols>
  <sheetData>
    <row r="1" spans="1:1" x14ac:dyDescent="0.35">
      <c r="A1" t="s">
        <v>30</v>
      </c>
    </row>
    <row r="2" spans="1:1" x14ac:dyDescent="0.35">
      <c r="A2">
        <v>0.14290754533047401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7780-D7AC-4241-BA73-71F72DBE5755}">
  <sheetPr codeName="Sheet4"/>
  <dimension ref="A1:G4"/>
  <sheetViews>
    <sheetView workbookViewId="0">
      <selection activeCell="AB16" sqref="AB16"/>
    </sheetView>
  </sheetViews>
  <sheetFormatPr defaultRowHeight="14.5" x14ac:dyDescent="0.35"/>
  <cols>
    <col min="1" max="1" width="17.6328125" bestFit="1" customWidth="1"/>
    <col min="2" max="2" width="14.453125" bestFit="1" customWidth="1"/>
    <col min="3" max="3" width="12.26953125" bestFit="1" customWidth="1"/>
    <col min="4" max="4" width="14.26953125" bestFit="1" customWidth="1"/>
    <col min="5" max="5" width="18.90625" bestFit="1" customWidth="1"/>
    <col min="6" max="6" width="22.54296875" bestFit="1" customWidth="1"/>
    <col min="7" max="7" width="21.81640625" bestFit="1" customWidth="1"/>
  </cols>
  <sheetData>
    <row r="1" spans="1:7" x14ac:dyDescent="0.35">
      <c r="A1" t="s">
        <v>0</v>
      </c>
      <c r="B1" t="s">
        <v>1</v>
      </c>
      <c r="C1" t="s">
        <v>2</v>
      </c>
      <c r="D1" t="s">
        <v>3</v>
      </c>
      <c r="E1" t="s">
        <v>4</v>
      </c>
      <c r="F1" t="s">
        <v>5</v>
      </c>
      <c r="G1" t="s">
        <v>6</v>
      </c>
    </row>
    <row r="2" spans="1:7" x14ac:dyDescent="0.35">
      <c r="A2" t="s">
        <v>7</v>
      </c>
      <c r="B2">
        <v>4744557.5</v>
      </c>
      <c r="C2">
        <v>663778.73</v>
      </c>
      <c r="D2">
        <v>14</v>
      </c>
      <c r="E2">
        <v>37.53</v>
      </c>
      <c r="F2">
        <v>45.23</v>
      </c>
      <c r="G2">
        <v>7.7</v>
      </c>
    </row>
    <row r="3" spans="1:7" x14ac:dyDescent="0.35">
      <c r="A3" t="s">
        <v>8</v>
      </c>
      <c r="B3">
        <v>3787070.23</v>
      </c>
      <c r="C3">
        <v>518473.83</v>
      </c>
      <c r="D3">
        <v>14</v>
      </c>
      <c r="E3">
        <v>29.96</v>
      </c>
      <c r="F3">
        <v>35.33</v>
      </c>
      <c r="G3">
        <v>5.37</v>
      </c>
    </row>
    <row r="4" spans="1:7" x14ac:dyDescent="0.35">
      <c r="A4" t="s">
        <v>9</v>
      </c>
      <c r="B4">
        <v>4110874.19</v>
      </c>
      <c r="C4">
        <v>285204.71999999997</v>
      </c>
      <c r="D4">
        <v>7</v>
      </c>
      <c r="E4">
        <v>32.520000000000003</v>
      </c>
      <c r="F4">
        <v>19.440000000000001</v>
      </c>
      <c r="G4">
        <v>-13.08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966F-FFEA-4112-B035-8F9DD4C811CF}">
  <sheetPr codeName="Sheet5"/>
  <dimension ref="A1:E4"/>
  <sheetViews>
    <sheetView workbookViewId="0">
      <selection activeCell="AB16" sqref="AB16"/>
    </sheetView>
  </sheetViews>
  <sheetFormatPr defaultRowHeight="14.5" x14ac:dyDescent="0.35"/>
  <cols>
    <col min="1" max="1" width="19.08984375" bestFit="1" customWidth="1"/>
    <col min="2" max="2" width="14.453125" bestFit="1" customWidth="1"/>
    <col min="3" max="3" width="12.26953125" bestFit="1" customWidth="1"/>
    <col min="4" max="4" width="14.26953125" bestFit="1" customWidth="1"/>
    <col min="5" max="5" width="41.90625" bestFit="1" customWidth="1"/>
  </cols>
  <sheetData>
    <row r="1" spans="1:5" x14ac:dyDescent="0.35">
      <c r="A1" t="s">
        <v>175</v>
      </c>
      <c r="B1" t="s">
        <v>1</v>
      </c>
      <c r="C1" t="s">
        <v>2</v>
      </c>
      <c r="D1" t="s">
        <v>3</v>
      </c>
      <c r="E1" t="s">
        <v>176</v>
      </c>
    </row>
    <row r="2" spans="1:5" x14ac:dyDescent="0.35">
      <c r="A2" t="s">
        <v>39</v>
      </c>
      <c r="B2">
        <v>6507949.4199999999</v>
      </c>
      <c r="C2">
        <v>749239.78</v>
      </c>
      <c r="D2">
        <v>12</v>
      </c>
      <c r="E2">
        <v>51.48</v>
      </c>
    </row>
    <row r="3" spans="1:5" x14ac:dyDescent="0.35">
      <c r="A3" t="s">
        <v>55</v>
      </c>
      <c r="B3">
        <v>3824697.52</v>
      </c>
      <c r="C3">
        <v>441208.33</v>
      </c>
      <c r="D3">
        <v>12</v>
      </c>
      <c r="E3">
        <v>30.25</v>
      </c>
    </row>
    <row r="4" spans="1:5" x14ac:dyDescent="0.35">
      <c r="A4" t="s">
        <v>81</v>
      </c>
      <c r="B4">
        <v>2309854.9700000002</v>
      </c>
      <c r="C4">
        <v>277009.18</v>
      </c>
      <c r="D4">
        <v>12</v>
      </c>
      <c r="E4">
        <v>18.27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16E5-F786-4330-AF6F-9AB9E8144EB3}">
  <sheetPr codeName="Sheet6"/>
  <dimension ref="A1:E14"/>
  <sheetViews>
    <sheetView workbookViewId="0">
      <selection activeCell="AB16" sqref="AB16"/>
    </sheetView>
  </sheetViews>
  <sheetFormatPr defaultRowHeight="14.5" x14ac:dyDescent="0.35"/>
  <cols>
    <col min="1" max="1" width="12.90625" bestFit="1" customWidth="1"/>
    <col min="2" max="2" width="14.453125" bestFit="1" customWidth="1"/>
    <col min="3" max="3" width="12.26953125" bestFit="1" customWidth="1"/>
    <col min="4" max="4" width="14.26953125" bestFit="1" customWidth="1"/>
    <col min="5" max="5" width="30.90625" bestFit="1" customWidth="1"/>
  </cols>
  <sheetData>
    <row r="1" spans="1:5" x14ac:dyDescent="0.35">
      <c r="A1" t="s">
        <v>23</v>
      </c>
      <c r="B1" t="s">
        <v>1</v>
      </c>
      <c r="C1" t="s">
        <v>2</v>
      </c>
      <c r="D1" t="s">
        <v>3</v>
      </c>
      <c r="E1" t="s">
        <v>167</v>
      </c>
    </row>
    <row r="2" spans="1:5" x14ac:dyDescent="0.35">
      <c r="A2" t="s">
        <v>85</v>
      </c>
      <c r="B2">
        <v>2822302.52</v>
      </c>
      <c r="C2">
        <v>311403.98</v>
      </c>
      <c r="D2">
        <v>11</v>
      </c>
      <c r="E2">
        <v>22.32</v>
      </c>
    </row>
    <row r="3" spans="1:5" x14ac:dyDescent="0.35">
      <c r="A3" t="s">
        <v>147</v>
      </c>
      <c r="B3">
        <v>1600907.04</v>
      </c>
      <c r="C3">
        <v>140355.76999999999</v>
      </c>
      <c r="D3">
        <v>9</v>
      </c>
      <c r="E3">
        <v>12.66</v>
      </c>
    </row>
    <row r="4" spans="1:5" x14ac:dyDescent="0.35">
      <c r="A4" t="s">
        <v>168</v>
      </c>
      <c r="B4">
        <v>1248165.6000000001</v>
      </c>
      <c r="C4">
        <v>194597.95</v>
      </c>
      <c r="D4">
        <v>16</v>
      </c>
      <c r="E4">
        <v>9.8699999999999992</v>
      </c>
    </row>
    <row r="5" spans="1:5" x14ac:dyDescent="0.35">
      <c r="A5" t="s">
        <v>60</v>
      </c>
      <c r="B5">
        <v>1100184.6100000001</v>
      </c>
      <c r="C5">
        <v>120089.11</v>
      </c>
      <c r="D5">
        <v>11</v>
      </c>
      <c r="E5">
        <v>8.6999999999999993</v>
      </c>
    </row>
    <row r="6" spans="1:5" x14ac:dyDescent="0.35">
      <c r="A6" t="s">
        <v>169</v>
      </c>
      <c r="B6">
        <v>884423.17</v>
      </c>
      <c r="C6">
        <v>17852.330000000002</v>
      </c>
      <c r="D6">
        <v>2</v>
      </c>
      <c r="E6">
        <v>7</v>
      </c>
    </row>
    <row r="7" spans="1:5" x14ac:dyDescent="0.35">
      <c r="A7" t="s">
        <v>170</v>
      </c>
      <c r="B7">
        <v>848309.78</v>
      </c>
      <c r="C7">
        <v>165578.42000000001</v>
      </c>
      <c r="D7">
        <v>20</v>
      </c>
      <c r="E7">
        <v>6.71</v>
      </c>
    </row>
    <row r="8" spans="1:5" x14ac:dyDescent="0.35">
      <c r="A8" t="s">
        <v>171</v>
      </c>
      <c r="B8">
        <v>806161.31</v>
      </c>
      <c r="C8">
        <v>43897.97</v>
      </c>
      <c r="D8">
        <v>5</v>
      </c>
      <c r="E8">
        <v>6.38</v>
      </c>
    </row>
    <row r="9" spans="1:5" x14ac:dyDescent="0.35">
      <c r="A9" t="s">
        <v>94</v>
      </c>
      <c r="B9">
        <v>783773.21</v>
      </c>
      <c r="C9">
        <v>88871.63</v>
      </c>
      <c r="D9">
        <v>11</v>
      </c>
      <c r="E9">
        <v>6.2</v>
      </c>
    </row>
    <row r="10" spans="1:5" x14ac:dyDescent="0.35">
      <c r="A10" t="s">
        <v>172</v>
      </c>
      <c r="B10">
        <v>752826.57</v>
      </c>
      <c r="C10">
        <v>132480.19</v>
      </c>
      <c r="D10">
        <v>18</v>
      </c>
      <c r="E10">
        <v>5.95</v>
      </c>
    </row>
    <row r="11" spans="1:5" x14ac:dyDescent="0.35">
      <c r="A11" t="s">
        <v>135</v>
      </c>
      <c r="B11">
        <v>725457.82</v>
      </c>
      <c r="C11">
        <v>108418.45</v>
      </c>
      <c r="D11">
        <v>15</v>
      </c>
      <c r="E11">
        <v>5.74</v>
      </c>
    </row>
    <row r="12" spans="1:5" x14ac:dyDescent="0.35">
      <c r="A12" t="s">
        <v>44</v>
      </c>
      <c r="B12">
        <v>678781.24</v>
      </c>
      <c r="C12">
        <v>91522.78</v>
      </c>
      <c r="D12">
        <v>13</v>
      </c>
      <c r="E12">
        <v>5.37</v>
      </c>
    </row>
    <row r="13" spans="1:5" x14ac:dyDescent="0.35">
      <c r="A13" t="s">
        <v>173</v>
      </c>
      <c r="B13">
        <v>324280.86</v>
      </c>
      <c r="C13">
        <v>34571.32</v>
      </c>
      <c r="D13">
        <v>11</v>
      </c>
      <c r="E13">
        <v>2.57</v>
      </c>
    </row>
    <row r="14" spans="1:5" x14ac:dyDescent="0.35">
      <c r="A14" t="s">
        <v>174</v>
      </c>
      <c r="B14">
        <v>66928.17</v>
      </c>
      <c r="C14">
        <v>17817.39</v>
      </c>
      <c r="D14">
        <v>27</v>
      </c>
      <c r="E14">
        <v>0.53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7AB0-9884-453F-9757-61C086D34699}">
  <sheetPr codeName="Sheet7"/>
  <dimension ref="A1:F18"/>
  <sheetViews>
    <sheetView workbookViewId="0">
      <selection activeCell="AB16" sqref="AB16"/>
    </sheetView>
  </sheetViews>
  <sheetFormatPr defaultRowHeight="14.5" x14ac:dyDescent="0.35"/>
  <cols>
    <col min="1" max="1" width="14.36328125" bestFit="1" customWidth="1"/>
    <col min="2" max="2" width="13" bestFit="1" customWidth="1"/>
    <col min="3" max="3" width="14.453125" bestFit="1" customWidth="1"/>
    <col min="4" max="4" width="12.26953125" bestFit="1" customWidth="1"/>
    <col min="5" max="5" width="14.26953125" bestFit="1" customWidth="1"/>
    <col min="6" max="6" width="35.90625" bestFit="1" customWidth="1"/>
  </cols>
  <sheetData>
    <row r="1" spans="1:6" x14ac:dyDescent="0.35">
      <c r="A1" t="s">
        <v>26</v>
      </c>
      <c r="B1" t="s">
        <v>25</v>
      </c>
      <c r="C1" t="s">
        <v>1</v>
      </c>
      <c r="D1" t="s">
        <v>2</v>
      </c>
      <c r="E1" t="s">
        <v>3</v>
      </c>
      <c r="F1" t="s">
        <v>155</v>
      </c>
    </row>
    <row r="2" spans="1:6" x14ac:dyDescent="0.35">
      <c r="A2" t="s">
        <v>156</v>
      </c>
      <c r="B2" t="s">
        <v>8</v>
      </c>
      <c r="C2">
        <v>244291.72</v>
      </c>
      <c r="D2">
        <v>59207.68</v>
      </c>
      <c r="E2">
        <v>24</v>
      </c>
      <c r="F2">
        <v>1.93</v>
      </c>
    </row>
    <row r="3" spans="1:6" x14ac:dyDescent="0.35">
      <c r="A3" t="s">
        <v>157</v>
      </c>
      <c r="B3" t="s">
        <v>8</v>
      </c>
      <c r="C3">
        <v>73404.03</v>
      </c>
      <c r="D3">
        <v>15010.51</v>
      </c>
      <c r="E3">
        <v>20</v>
      </c>
      <c r="F3">
        <v>0.57999999999999996</v>
      </c>
    </row>
    <row r="4" spans="1:6" x14ac:dyDescent="0.35">
      <c r="A4" t="s">
        <v>158</v>
      </c>
      <c r="B4" t="s">
        <v>8</v>
      </c>
      <c r="C4">
        <v>170904.3</v>
      </c>
      <c r="D4">
        <v>29601.119999999999</v>
      </c>
      <c r="E4">
        <v>17</v>
      </c>
      <c r="F4">
        <v>1.35</v>
      </c>
    </row>
    <row r="5" spans="1:6" x14ac:dyDescent="0.35">
      <c r="A5" t="s">
        <v>96</v>
      </c>
      <c r="B5" t="s">
        <v>7</v>
      </c>
      <c r="C5">
        <v>1509436.27</v>
      </c>
      <c r="D5">
        <v>258567.55</v>
      </c>
      <c r="E5">
        <v>17</v>
      </c>
      <c r="F5">
        <v>11.94</v>
      </c>
    </row>
    <row r="6" spans="1:6" x14ac:dyDescent="0.35">
      <c r="A6" t="s">
        <v>46</v>
      </c>
      <c r="B6" t="s">
        <v>7</v>
      </c>
      <c r="C6">
        <v>749237.02</v>
      </c>
      <c r="D6">
        <v>129626.31</v>
      </c>
      <c r="E6">
        <v>17</v>
      </c>
      <c r="F6">
        <v>5.93</v>
      </c>
    </row>
    <row r="7" spans="1:6" x14ac:dyDescent="0.35">
      <c r="A7" t="s">
        <v>137</v>
      </c>
      <c r="B7" t="s">
        <v>8</v>
      </c>
      <c r="C7">
        <v>461911.51</v>
      </c>
      <c r="D7">
        <v>72449.850000000006</v>
      </c>
      <c r="E7">
        <v>16</v>
      </c>
      <c r="F7">
        <v>3.65</v>
      </c>
    </row>
    <row r="8" spans="1:6" x14ac:dyDescent="0.35">
      <c r="A8" t="s">
        <v>159</v>
      </c>
      <c r="B8" t="s">
        <v>8</v>
      </c>
      <c r="C8">
        <v>372091.97</v>
      </c>
      <c r="D8">
        <v>57953.91</v>
      </c>
      <c r="E8">
        <v>16</v>
      </c>
      <c r="F8">
        <v>2.94</v>
      </c>
    </row>
    <row r="9" spans="1:6" x14ac:dyDescent="0.35">
      <c r="A9" t="s">
        <v>160</v>
      </c>
      <c r="B9" t="s">
        <v>8</v>
      </c>
      <c r="C9">
        <v>83242.320000000007</v>
      </c>
      <c r="D9">
        <v>11525.42</v>
      </c>
      <c r="E9">
        <v>14</v>
      </c>
      <c r="F9">
        <v>0.66</v>
      </c>
    </row>
    <row r="10" spans="1:6" x14ac:dyDescent="0.35">
      <c r="A10" t="s">
        <v>161</v>
      </c>
      <c r="B10" t="s">
        <v>8</v>
      </c>
      <c r="C10">
        <v>1011064.31</v>
      </c>
      <c r="D10">
        <v>141680.59</v>
      </c>
      <c r="E10">
        <v>14</v>
      </c>
      <c r="F10">
        <v>8</v>
      </c>
    </row>
    <row r="11" spans="1:6" x14ac:dyDescent="0.35">
      <c r="A11" t="s">
        <v>73</v>
      </c>
      <c r="B11" t="s">
        <v>7</v>
      </c>
      <c r="C11">
        <v>1706824.14</v>
      </c>
      <c r="D11">
        <v>216717.01</v>
      </c>
      <c r="E11">
        <v>13</v>
      </c>
      <c r="F11">
        <v>13.5</v>
      </c>
    </row>
    <row r="12" spans="1:6" x14ac:dyDescent="0.35">
      <c r="A12" t="s">
        <v>162</v>
      </c>
      <c r="B12" t="s">
        <v>9</v>
      </c>
      <c r="C12">
        <v>385578.26</v>
      </c>
      <c r="D12">
        <v>46967.43</v>
      </c>
      <c r="E12">
        <v>12</v>
      </c>
      <c r="F12">
        <v>3.05</v>
      </c>
    </row>
    <row r="13" spans="1:6" x14ac:dyDescent="0.35">
      <c r="A13" t="s">
        <v>163</v>
      </c>
      <c r="B13" t="s">
        <v>9</v>
      </c>
      <c r="C13">
        <v>1466572.24</v>
      </c>
      <c r="D13">
        <v>161924.42000000001</v>
      </c>
      <c r="E13">
        <v>11</v>
      </c>
      <c r="F13">
        <v>11.6</v>
      </c>
    </row>
    <row r="14" spans="1:6" x14ac:dyDescent="0.35">
      <c r="A14" t="s">
        <v>164</v>
      </c>
      <c r="B14" t="s">
        <v>8</v>
      </c>
      <c r="C14">
        <v>1127085.8600000001</v>
      </c>
      <c r="D14">
        <v>108461.49</v>
      </c>
      <c r="E14">
        <v>10</v>
      </c>
      <c r="F14">
        <v>8.92</v>
      </c>
    </row>
    <row r="15" spans="1:6" x14ac:dyDescent="0.35">
      <c r="A15" t="s">
        <v>165</v>
      </c>
      <c r="B15" t="s">
        <v>8</v>
      </c>
      <c r="C15">
        <v>243074.22</v>
      </c>
      <c r="D15">
        <v>22583.26</v>
      </c>
      <c r="E15">
        <v>9</v>
      </c>
      <c r="F15">
        <v>1.92</v>
      </c>
    </row>
    <row r="16" spans="1:6" x14ac:dyDescent="0.35">
      <c r="A16" t="s">
        <v>62</v>
      </c>
      <c r="B16" t="s">
        <v>9</v>
      </c>
      <c r="C16">
        <v>1501681.76</v>
      </c>
      <c r="D16">
        <v>140396.26999999999</v>
      </c>
      <c r="E16">
        <v>9</v>
      </c>
      <c r="F16">
        <v>11.88</v>
      </c>
    </row>
    <row r="17" spans="1:6" x14ac:dyDescent="0.35">
      <c r="A17" t="s">
        <v>166</v>
      </c>
      <c r="B17" t="s">
        <v>7</v>
      </c>
      <c r="C17">
        <v>779060.07</v>
      </c>
      <c r="D17">
        <v>58867.87</v>
      </c>
      <c r="E17">
        <v>8</v>
      </c>
      <c r="F17">
        <v>6.16</v>
      </c>
    </row>
    <row r="18" spans="1:6" x14ac:dyDescent="0.35">
      <c r="A18" t="s">
        <v>125</v>
      </c>
      <c r="B18" t="s">
        <v>9</v>
      </c>
      <c r="C18">
        <v>757041.92</v>
      </c>
      <c r="D18">
        <v>-64083.39</v>
      </c>
      <c r="E18">
        <v>-8</v>
      </c>
      <c r="F18">
        <v>5.99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3289-FE2C-4B4F-BBA4-CBC04C689C3E}">
  <sheetPr codeName="Sheet8"/>
  <dimension ref="A1:E4"/>
  <sheetViews>
    <sheetView workbookViewId="0">
      <selection activeCell="AB16" sqref="AB16"/>
    </sheetView>
  </sheetViews>
  <sheetFormatPr defaultRowHeight="14.5" x14ac:dyDescent="0.35"/>
  <cols>
    <col min="1" max="1" width="13" bestFit="1" customWidth="1"/>
    <col min="2" max="2" width="14.453125" bestFit="1" customWidth="1"/>
    <col min="3" max="3" width="12.26953125" bestFit="1" customWidth="1"/>
    <col min="4" max="4" width="14.26953125" bestFit="1" customWidth="1"/>
    <col min="5" max="5" width="32.7265625" bestFit="1" customWidth="1"/>
  </cols>
  <sheetData>
    <row r="1" spans="1:5" x14ac:dyDescent="0.35">
      <c r="A1" t="s">
        <v>25</v>
      </c>
      <c r="B1" t="s">
        <v>1</v>
      </c>
      <c r="C1" t="s">
        <v>2</v>
      </c>
      <c r="D1" t="s">
        <v>3</v>
      </c>
      <c r="E1" t="s">
        <v>154</v>
      </c>
    </row>
    <row r="2" spans="1:5" x14ac:dyDescent="0.35">
      <c r="A2" t="s">
        <v>7</v>
      </c>
      <c r="B2">
        <v>4744557.5</v>
      </c>
      <c r="C2">
        <v>663778.73</v>
      </c>
      <c r="D2">
        <v>14</v>
      </c>
      <c r="E2">
        <v>37.53</v>
      </c>
    </row>
    <row r="3" spans="1:5" x14ac:dyDescent="0.35">
      <c r="A3" t="s">
        <v>9</v>
      </c>
      <c r="B3">
        <v>4110874.19</v>
      </c>
      <c r="C3">
        <v>285204.71999999997</v>
      </c>
      <c r="D3">
        <v>7</v>
      </c>
      <c r="E3">
        <v>32.520000000000003</v>
      </c>
    </row>
    <row r="4" spans="1:5" x14ac:dyDescent="0.35">
      <c r="A4" t="s">
        <v>8</v>
      </c>
      <c r="B4">
        <v>3787070.23</v>
      </c>
      <c r="C4">
        <v>518473.83</v>
      </c>
      <c r="D4">
        <v>14</v>
      </c>
      <c r="E4">
        <v>29.96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50D6-59F5-46B9-B3E9-A275B25B44DA}">
  <sheetPr codeName="Sheet9"/>
  <dimension ref="A1:G5"/>
  <sheetViews>
    <sheetView workbookViewId="0">
      <selection activeCell="AB16" sqref="AB16"/>
    </sheetView>
  </sheetViews>
  <sheetFormatPr defaultRowHeight="14.5" x14ac:dyDescent="0.35"/>
  <cols>
    <col min="1" max="1" width="6.6328125" bestFit="1" customWidth="1"/>
    <col min="2" max="2" width="14.453125" bestFit="1" customWidth="1"/>
    <col min="3" max="3" width="12.26953125" bestFit="1" customWidth="1"/>
    <col min="4" max="4" width="14.26953125" bestFit="1" customWidth="1"/>
    <col min="5" max="5" width="22.36328125" bestFit="1" customWidth="1"/>
    <col min="6" max="6" width="20.453125" bestFit="1" customWidth="1"/>
    <col min="7" max="7" width="18.1796875" bestFit="1" customWidth="1"/>
  </cols>
  <sheetData>
    <row r="1" spans="1:7" x14ac:dyDescent="0.35">
      <c r="A1" t="s">
        <v>150</v>
      </c>
      <c r="B1" t="s">
        <v>1</v>
      </c>
      <c r="C1" t="s">
        <v>2</v>
      </c>
      <c r="D1" t="s">
        <v>3</v>
      </c>
      <c r="E1" t="s">
        <v>151</v>
      </c>
      <c r="F1" t="s">
        <v>152</v>
      </c>
      <c r="G1" t="s">
        <v>153</v>
      </c>
    </row>
    <row r="2" spans="1:7" x14ac:dyDescent="0.35">
      <c r="A2">
        <v>2011</v>
      </c>
      <c r="B2">
        <v>2259450.9</v>
      </c>
      <c r="C2">
        <v>248940.81</v>
      </c>
      <c r="D2">
        <v>11.02</v>
      </c>
    </row>
    <row r="3" spans="1:7" x14ac:dyDescent="0.35">
      <c r="A3">
        <v>2012</v>
      </c>
      <c r="B3">
        <v>2677438.69</v>
      </c>
      <c r="C3">
        <v>307415.28000000003</v>
      </c>
      <c r="D3">
        <v>11.48</v>
      </c>
      <c r="E3">
        <v>2259450.9</v>
      </c>
      <c r="F3">
        <v>18</v>
      </c>
      <c r="G3">
        <v>23</v>
      </c>
    </row>
    <row r="4" spans="1:7" x14ac:dyDescent="0.35">
      <c r="A4">
        <v>2013</v>
      </c>
      <c r="B4">
        <v>3405746.45</v>
      </c>
      <c r="C4">
        <v>406935.23</v>
      </c>
      <c r="D4">
        <v>11.95</v>
      </c>
      <c r="E4">
        <v>2677438.69</v>
      </c>
      <c r="F4">
        <v>27</v>
      </c>
      <c r="G4">
        <v>32</v>
      </c>
    </row>
    <row r="5" spans="1:7" x14ac:dyDescent="0.35">
      <c r="A5">
        <v>2014</v>
      </c>
      <c r="B5">
        <v>4299865.87</v>
      </c>
      <c r="C5">
        <v>504165.97</v>
      </c>
      <c r="D5">
        <v>11.73</v>
      </c>
      <c r="E5">
        <v>3405746.45</v>
      </c>
      <c r="F5">
        <v>26</v>
      </c>
      <c r="G5">
        <v>24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BF80-1E54-48E4-BC8B-C7C87D287987}">
  <sheetPr codeName="Sheet10"/>
  <dimension ref="A1:C16"/>
  <sheetViews>
    <sheetView workbookViewId="0">
      <selection activeCell="AB16" sqref="AB16"/>
    </sheetView>
  </sheetViews>
  <sheetFormatPr defaultRowHeight="14.5" x14ac:dyDescent="0.35"/>
  <sheetData>
    <row r="1" spans="1:3" x14ac:dyDescent="0.35">
      <c r="A1" s="1" t="s">
        <v>150</v>
      </c>
      <c r="B1" s="2" t="s">
        <v>300</v>
      </c>
      <c r="C1" s="2" t="s">
        <v>1</v>
      </c>
    </row>
    <row r="2" spans="1:3" x14ac:dyDescent="0.35">
      <c r="A2" s="3">
        <v>2011</v>
      </c>
      <c r="B2" s="4" t="s">
        <v>9</v>
      </c>
      <c r="C2" s="119">
        <v>756192.38</v>
      </c>
    </row>
    <row r="3" spans="1:3" x14ac:dyDescent="0.35">
      <c r="A3" s="3">
        <v>2011</v>
      </c>
      <c r="B3" s="4" t="s">
        <v>8</v>
      </c>
      <c r="C3" s="119">
        <v>675606.45</v>
      </c>
    </row>
    <row r="4" spans="1:3" x14ac:dyDescent="0.35">
      <c r="A4" s="3">
        <v>2011</v>
      </c>
      <c r="B4" s="4" t="s">
        <v>7</v>
      </c>
      <c r="C4" s="119">
        <v>827652.06</v>
      </c>
    </row>
    <row r="5" spans="1:3" x14ac:dyDescent="0.35">
      <c r="A5" s="3">
        <v>2012</v>
      </c>
      <c r="B5" s="4" t="s">
        <v>9</v>
      </c>
      <c r="C5" s="119">
        <v>858902.56</v>
      </c>
    </row>
    <row r="6" spans="1:3" x14ac:dyDescent="0.35">
      <c r="A6" s="3">
        <v>2012</v>
      </c>
      <c r="B6" s="4" t="s">
        <v>8</v>
      </c>
      <c r="C6" s="119">
        <v>795094.63</v>
      </c>
    </row>
    <row r="7" spans="1:3" x14ac:dyDescent="0.35">
      <c r="A7" s="3">
        <v>2012</v>
      </c>
      <c r="B7" s="4" t="s">
        <v>7</v>
      </c>
      <c r="C7" s="119">
        <v>1023441.51</v>
      </c>
    </row>
    <row r="8" spans="1:3" x14ac:dyDescent="0.35">
      <c r="A8" s="3">
        <v>2013</v>
      </c>
      <c r="B8" s="4" t="s">
        <v>9</v>
      </c>
      <c r="C8" s="119">
        <v>1117723.55</v>
      </c>
    </row>
    <row r="9" spans="1:3" x14ac:dyDescent="0.35">
      <c r="A9" s="3">
        <v>2013</v>
      </c>
      <c r="B9" s="4" t="s">
        <v>8</v>
      </c>
      <c r="C9" s="119">
        <v>1010717.64</v>
      </c>
    </row>
    <row r="10" spans="1:3" x14ac:dyDescent="0.35">
      <c r="A10" s="3">
        <v>2013</v>
      </c>
      <c r="B10" s="4" t="s">
        <v>7</v>
      </c>
      <c r="C10" s="119">
        <v>1277305.25</v>
      </c>
    </row>
    <row r="11" spans="1:3" x14ac:dyDescent="0.35">
      <c r="A11" s="3">
        <v>2014</v>
      </c>
      <c r="B11" s="4" t="s">
        <v>9</v>
      </c>
      <c r="C11" s="119">
        <v>1378055.69</v>
      </c>
    </row>
    <row r="12" spans="1:3" x14ac:dyDescent="0.35">
      <c r="A12" s="3">
        <v>2014</v>
      </c>
      <c r="B12" s="4" t="s">
        <v>8</v>
      </c>
      <c r="C12" s="119">
        <v>1305651.51</v>
      </c>
    </row>
    <row r="13" spans="1:3" x14ac:dyDescent="0.35">
      <c r="A13" s="3">
        <v>2014</v>
      </c>
      <c r="B13" s="4" t="s">
        <v>7</v>
      </c>
      <c r="C13" s="119">
        <v>1616158.67</v>
      </c>
    </row>
    <row r="14" spans="1:3" x14ac:dyDescent="0.35">
      <c r="A14" s="5"/>
      <c r="B14" s="6"/>
      <c r="C14" s="6"/>
    </row>
    <row r="15" spans="1:3" x14ac:dyDescent="0.35">
      <c r="A15" s="3"/>
      <c r="B15" s="4"/>
      <c r="C15" s="4"/>
    </row>
    <row r="16" spans="1:3" x14ac:dyDescent="0.35">
      <c r="A16" s="5"/>
      <c r="B16" s="6"/>
      <c r="C16" s="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394F-C7B0-4624-9CEF-7013EAE67C50}">
  <sheetPr codeName="Sheet11"/>
  <dimension ref="A1:X11"/>
  <sheetViews>
    <sheetView zoomScale="75" workbookViewId="0">
      <selection activeCell="AB16" sqref="AB16"/>
    </sheetView>
  </sheetViews>
  <sheetFormatPr defaultRowHeight="14.5" x14ac:dyDescent="0.35"/>
  <cols>
    <col min="1" max="1" width="8.81640625" bestFit="1" customWidth="1"/>
    <col min="2" max="2" width="15.1796875" bestFit="1" customWidth="1"/>
    <col min="3" max="3" width="12" bestFit="1" customWidth="1"/>
    <col min="4" max="4" width="11.1796875" bestFit="1" customWidth="1"/>
    <col min="5" max="5" width="13.08984375" bestFit="1" customWidth="1"/>
    <col min="6" max="6" width="13.453125" bestFit="1" customWidth="1"/>
    <col min="7" max="7" width="16.6328125" bestFit="1" customWidth="1"/>
    <col min="8" max="8" width="10.90625" bestFit="1" customWidth="1"/>
    <col min="9" max="9" width="11.81640625" bestFit="1" customWidth="1"/>
    <col min="10" max="10" width="14.81640625" bestFit="1" customWidth="1"/>
    <col min="11" max="11" width="11.7265625" bestFit="1" customWidth="1"/>
    <col min="12" max="12" width="13" bestFit="1" customWidth="1"/>
    <col min="13" max="14" width="8.81640625" bestFit="1" customWidth="1"/>
    <col min="15" max="15" width="16.7265625" bestFit="1" customWidth="1"/>
    <col min="16" max="16" width="13" bestFit="1" customWidth="1"/>
    <col min="17" max="17" width="14.36328125" bestFit="1" customWidth="1"/>
    <col min="18" max="18" width="65.1796875" bestFit="1" customWidth="1"/>
    <col min="19" max="19" width="8.81640625" bestFit="1" customWidth="1"/>
    <col min="20" max="20" width="10.26953125" bestFit="1" customWidth="1"/>
    <col min="21" max="21" width="10.6328125" bestFit="1" customWidth="1"/>
    <col min="22" max="22" width="10.453125" bestFit="1" customWidth="1"/>
    <col min="23" max="23" width="14.7265625" bestFit="1" customWidth="1"/>
    <col min="24" max="24" width="14.08984375" bestFit="1" customWidth="1"/>
  </cols>
  <sheetData>
    <row r="1" spans="1:24" x14ac:dyDescent="0.35">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row>
    <row r="2" spans="1:24" x14ac:dyDescent="0.35">
      <c r="A2">
        <v>32298</v>
      </c>
      <c r="B2" t="s">
        <v>34</v>
      </c>
      <c r="C2" t="s">
        <v>35</v>
      </c>
      <c r="D2" t="s">
        <v>35</v>
      </c>
      <c r="E2" t="s">
        <v>36</v>
      </c>
      <c r="F2" t="s">
        <v>37</v>
      </c>
      <c r="G2" t="s">
        <v>38</v>
      </c>
      <c r="H2" t="s">
        <v>39</v>
      </c>
      <c r="I2" t="s">
        <v>40</v>
      </c>
      <c r="J2" t="s">
        <v>41</v>
      </c>
      <c r="K2" t="s">
        <v>42</v>
      </c>
      <c r="L2">
        <v>10024</v>
      </c>
      <c r="M2" t="s">
        <v>43</v>
      </c>
      <c r="N2" t="s">
        <v>44</v>
      </c>
      <c r="O2" t="s">
        <v>45</v>
      </c>
      <c r="P2" t="s">
        <v>7</v>
      </c>
      <c r="Q2" t="s">
        <v>46</v>
      </c>
      <c r="R2" t="s">
        <v>47</v>
      </c>
      <c r="S2">
        <v>2309.65</v>
      </c>
      <c r="T2">
        <v>7</v>
      </c>
      <c r="U2">
        <v>0</v>
      </c>
      <c r="V2">
        <v>762.18449999999996</v>
      </c>
      <c r="W2">
        <v>933.57</v>
      </c>
      <c r="X2" t="s">
        <v>48</v>
      </c>
    </row>
    <row r="3" spans="1:24" x14ac:dyDescent="0.35">
      <c r="A3">
        <v>26341</v>
      </c>
      <c r="B3" t="s">
        <v>49</v>
      </c>
      <c r="C3" t="s">
        <v>50</v>
      </c>
      <c r="D3" t="s">
        <v>51</v>
      </c>
      <c r="E3" t="s">
        <v>52</v>
      </c>
      <c r="F3" t="s">
        <v>53</v>
      </c>
      <c r="G3" t="s">
        <v>54</v>
      </c>
      <c r="H3" t="s">
        <v>55</v>
      </c>
      <c r="I3" t="s">
        <v>56</v>
      </c>
      <c r="J3" t="s">
        <v>57</v>
      </c>
      <c r="K3" t="s">
        <v>58</v>
      </c>
      <c r="M3" t="s">
        <v>59</v>
      </c>
      <c r="N3" t="s">
        <v>60</v>
      </c>
      <c r="O3" t="s">
        <v>61</v>
      </c>
      <c r="P3" t="s">
        <v>9</v>
      </c>
      <c r="Q3" t="s">
        <v>62</v>
      </c>
      <c r="R3" t="s">
        <v>63</v>
      </c>
      <c r="S3">
        <v>3709.395</v>
      </c>
      <c r="T3">
        <v>9</v>
      </c>
      <c r="U3">
        <v>0.1</v>
      </c>
      <c r="V3">
        <v>-288.76499999999999</v>
      </c>
      <c r="W3">
        <v>923.63</v>
      </c>
      <c r="X3" t="s">
        <v>48</v>
      </c>
    </row>
    <row r="4" spans="1:24" x14ac:dyDescent="0.35">
      <c r="A4">
        <v>25330</v>
      </c>
      <c r="B4" t="s">
        <v>64</v>
      </c>
      <c r="C4" t="s">
        <v>65</v>
      </c>
      <c r="D4" t="s">
        <v>66</v>
      </c>
      <c r="E4" t="s">
        <v>67</v>
      </c>
      <c r="F4" t="s">
        <v>68</v>
      </c>
      <c r="G4" t="s">
        <v>69</v>
      </c>
      <c r="H4" t="s">
        <v>39</v>
      </c>
      <c r="I4" t="s">
        <v>70</v>
      </c>
      <c r="J4" t="s">
        <v>71</v>
      </c>
      <c r="K4" t="s">
        <v>58</v>
      </c>
      <c r="M4" t="s">
        <v>59</v>
      </c>
      <c r="N4" t="s">
        <v>60</v>
      </c>
      <c r="O4" t="s">
        <v>72</v>
      </c>
      <c r="P4" t="s">
        <v>7</v>
      </c>
      <c r="Q4" t="s">
        <v>73</v>
      </c>
      <c r="R4" t="s">
        <v>74</v>
      </c>
      <c r="S4">
        <v>5175.1710000000003</v>
      </c>
      <c r="T4">
        <v>9</v>
      </c>
      <c r="U4">
        <v>0.1</v>
      </c>
      <c r="V4">
        <v>919.971</v>
      </c>
      <c r="W4">
        <v>915.49</v>
      </c>
      <c r="X4" t="s">
        <v>75</v>
      </c>
    </row>
    <row r="5" spans="1:24" x14ac:dyDescent="0.35">
      <c r="A5">
        <v>13524</v>
      </c>
      <c r="B5" t="s">
        <v>76</v>
      </c>
      <c r="C5" t="s">
        <v>77</v>
      </c>
      <c r="D5" t="s">
        <v>78</v>
      </c>
      <c r="E5" t="s">
        <v>67</v>
      </c>
      <c r="F5" t="s">
        <v>79</v>
      </c>
      <c r="G5" t="s">
        <v>80</v>
      </c>
      <c r="H5" t="s">
        <v>81</v>
      </c>
      <c r="I5" t="s">
        <v>82</v>
      </c>
      <c r="J5" t="s">
        <v>82</v>
      </c>
      <c r="K5" t="s">
        <v>83</v>
      </c>
      <c r="M5" t="s">
        <v>84</v>
      </c>
      <c r="N5" t="s">
        <v>85</v>
      </c>
      <c r="O5" t="s">
        <v>86</v>
      </c>
      <c r="P5" t="s">
        <v>7</v>
      </c>
      <c r="Q5" t="s">
        <v>73</v>
      </c>
      <c r="R5" t="s">
        <v>87</v>
      </c>
      <c r="S5">
        <v>2892.51</v>
      </c>
      <c r="T5">
        <v>5</v>
      </c>
      <c r="U5">
        <v>0.1</v>
      </c>
      <c r="V5">
        <v>-96.54</v>
      </c>
      <c r="W5">
        <v>910.16</v>
      </c>
      <c r="X5" t="s">
        <v>75</v>
      </c>
    </row>
    <row r="6" spans="1:24" x14ac:dyDescent="0.35">
      <c r="A6">
        <v>47221</v>
      </c>
      <c r="B6" t="s">
        <v>88</v>
      </c>
      <c r="C6" t="s">
        <v>89</v>
      </c>
      <c r="D6" t="s">
        <v>90</v>
      </c>
      <c r="E6" t="s">
        <v>36</v>
      </c>
      <c r="F6" t="s">
        <v>91</v>
      </c>
      <c r="G6" t="s">
        <v>38</v>
      </c>
      <c r="H6" t="s">
        <v>39</v>
      </c>
      <c r="I6" t="s">
        <v>92</v>
      </c>
      <c r="J6" t="s">
        <v>92</v>
      </c>
      <c r="K6" t="s">
        <v>93</v>
      </c>
      <c r="M6" t="s">
        <v>94</v>
      </c>
      <c r="N6" t="s">
        <v>94</v>
      </c>
      <c r="O6" t="s">
        <v>95</v>
      </c>
      <c r="P6" t="s">
        <v>7</v>
      </c>
      <c r="Q6" t="s">
        <v>96</v>
      </c>
      <c r="R6" t="s">
        <v>97</v>
      </c>
      <c r="S6">
        <v>2832.96</v>
      </c>
      <c r="T6">
        <v>8</v>
      </c>
      <c r="U6">
        <v>0</v>
      </c>
      <c r="V6">
        <v>311.52</v>
      </c>
      <c r="W6">
        <v>903.04</v>
      </c>
      <c r="X6" t="s">
        <v>48</v>
      </c>
    </row>
    <row r="7" spans="1:24" x14ac:dyDescent="0.35">
      <c r="A7">
        <v>22732</v>
      </c>
      <c r="B7" t="s">
        <v>98</v>
      </c>
      <c r="C7" t="s">
        <v>99</v>
      </c>
      <c r="D7" t="s">
        <v>100</v>
      </c>
      <c r="E7" t="s">
        <v>52</v>
      </c>
      <c r="F7" t="s">
        <v>101</v>
      </c>
      <c r="G7" t="s">
        <v>102</v>
      </c>
      <c r="H7" t="s">
        <v>55</v>
      </c>
      <c r="I7" t="s">
        <v>103</v>
      </c>
      <c r="J7" t="s">
        <v>57</v>
      </c>
      <c r="K7" t="s">
        <v>58</v>
      </c>
      <c r="M7" t="s">
        <v>59</v>
      </c>
      <c r="N7" t="s">
        <v>60</v>
      </c>
      <c r="O7" t="s">
        <v>104</v>
      </c>
      <c r="P7" t="s">
        <v>7</v>
      </c>
      <c r="Q7" t="s">
        <v>73</v>
      </c>
      <c r="R7" t="s">
        <v>105</v>
      </c>
      <c r="S7">
        <v>2862.6750000000002</v>
      </c>
      <c r="T7">
        <v>5</v>
      </c>
      <c r="U7">
        <v>0.1</v>
      </c>
      <c r="V7">
        <v>763.27499999999998</v>
      </c>
      <c r="W7">
        <v>897.35</v>
      </c>
      <c r="X7" t="s">
        <v>48</v>
      </c>
    </row>
    <row r="8" spans="1:24" x14ac:dyDescent="0.35">
      <c r="A8">
        <v>30570</v>
      </c>
      <c r="B8" t="s">
        <v>106</v>
      </c>
      <c r="C8" t="s">
        <v>107</v>
      </c>
      <c r="D8" t="s">
        <v>108</v>
      </c>
      <c r="E8" t="s">
        <v>67</v>
      </c>
      <c r="F8" t="s">
        <v>109</v>
      </c>
      <c r="G8" t="s">
        <v>110</v>
      </c>
      <c r="H8" t="s">
        <v>39</v>
      </c>
      <c r="I8" t="s">
        <v>111</v>
      </c>
      <c r="J8" t="s">
        <v>112</v>
      </c>
      <c r="K8" t="s">
        <v>113</v>
      </c>
      <c r="M8" t="s">
        <v>59</v>
      </c>
      <c r="N8" t="s">
        <v>60</v>
      </c>
      <c r="O8" t="s">
        <v>114</v>
      </c>
      <c r="P8" t="s">
        <v>9</v>
      </c>
      <c r="Q8" t="s">
        <v>62</v>
      </c>
      <c r="R8" t="s">
        <v>115</v>
      </c>
      <c r="S8">
        <v>1822.08</v>
      </c>
      <c r="T8">
        <v>4</v>
      </c>
      <c r="U8">
        <v>0</v>
      </c>
      <c r="V8">
        <v>564.84</v>
      </c>
      <c r="W8">
        <v>894.77</v>
      </c>
      <c r="X8" t="s">
        <v>48</v>
      </c>
    </row>
    <row r="9" spans="1:24" x14ac:dyDescent="0.35">
      <c r="A9">
        <v>31192</v>
      </c>
      <c r="B9" t="s">
        <v>116</v>
      </c>
      <c r="C9" t="s">
        <v>117</v>
      </c>
      <c r="D9" t="s">
        <v>118</v>
      </c>
      <c r="E9" t="s">
        <v>119</v>
      </c>
      <c r="F9" t="s">
        <v>120</v>
      </c>
      <c r="G9" t="s">
        <v>121</v>
      </c>
      <c r="H9" t="s">
        <v>39</v>
      </c>
      <c r="I9" t="s">
        <v>122</v>
      </c>
      <c r="J9" t="s">
        <v>123</v>
      </c>
      <c r="K9" t="s">
        <v>113</v>
      </c>
      <c r="M9" t="s">
        <v>59</v>
      </c>
      <c r="N9" t="s">
        <v>60</v>
      </c>
      <c r="O9" t="s">
        <v>124</v>
      </c>
      <c r="P9" t="s">
        <v>9</v>
      </c>
      <c r="Q9" t="s">
        <v>125</v>
      </c>
      <c r="R9" t="s">
        <v>126</v>
      </c>
      <c r="S9">
        <v>5244.84</v>
      </c>
      <c r="T9">
        <v>6</v>
      </c>
      <c r="U9">
        <v>0</v>
      </c>
      <c r="V9">
        <v>996.48</v>
      </c>
      <c r="W9">
        <v>878.38</v>
      </c>
      <c r="X9" t="s">
        <v>127</v>
      </c>
    </row>
    <row r="10" spans="1:24" x14ac:dyDescent="0.35">
      <c r="A10">
        <v>40155</v>
      </c>
      <c r="B10" t="s">
        <v>128</v>
      </c>
      <c r="C10" t="s">
        <v>129</v>
      </c>
      <c r="D10" t="s">
        <v>130</v>
      </c>
      <c r="E10" t="s">
        <v>119</v>
      </c>
      <c r="F10" t="s">
        <v>131</v>
      </c>
      <c r="G10" t="s">
        <v>132</v>
      </c>
      <c r="H10" t="s">
        <v>55</v>
      </c>
      <c r="I10" t="s">
        <v>133</v>
      </c>
      <c r="J10" t="s">
        <v>134</v>
      </c>
      <c r="K10" t="s">
        <v>42</v>
      </c>
      <c r="L10">
        <v>95823</v>
      </c>
      <c r="M10" t="s">
        <v>43</v>
      </c>
      <c r="N10" t="s">
        <v>135</v>
      </c>
      <c r="O10" t="s">
        <v>136</v>
      </c>
      <c r="P10" t="s">
        <v>8</v>
      </c>
      <c r="Q10" t="s">
        <v>137</v>
      </c>
      <c r="R10" t="s">
        <v>138</v>
      </c>
      <c r="S10">
        <v>5083.96</v>
      </c>
      <c r="T10">
        <v>5</v>
      </c>
      <c r="U10">
        <v>0.2</v>
      </c>
      <c r="V10">
        <v>1906.4849999999999</v>
      </c>
      <c r="W10">
        <v>867.69</v>
      </c>
      <c r="X10" t="s">
        <v>139</v>
      </c>
    </row>
    <row r="11" spans="1:24" x14ac:dyDescent="0.35">
      <c r="A11">
        <v>40936</v>
      </c>
      <c r="B11" t="s">
        <v>140</v>
      </c>
      <c r="C11" t="s">
        <v>141</v>
      </c>
      <c r="D11" t="s">
        <v>142</v>
      </c>
      <c r="E11" t="s">
        <v>52</v>
      </c>
      <c r="F11" t="s">
        <v>143</v>
      </c>
      <c r="G11" t="s">
        <v>144</v>
      </c>
      <c r="H11" t="s">
        <v>39</v>
      </c>
      <c r="I11" t="s">
        <v>145</v>
      </c>
      <c r="J11" t="s">
        <v>146</v>
      </c>
      <c r="K11" t="s">
        <v>42</v>
      </c>
      <c r="L11">
        <v>28027</v>
      </c>
      <c r="M11" t="s">
        <v>43</v>
      </c>
      <c r="N11" t="s">
        <v>147</v>
      </c>
      <c r="O11" t="s">
        <v>148</v>
      </c>
      <c r="P11" t="s">
        <v>9</v>
      </c>
      <c r="Q11" t="s">
        <v>125</v>
      </c>
      <c r="R11" t="s">
        <v>149</v>
      </c>
      <c r="S11">
        <v>4297.6440000000002</v>
      </c>
      <c r="T11">
        <v>13</v>
      </c>
      <c r="U11">
        <v>0.4</v>
      </c>
      <c r="V11">
        <v>-1862.3124</v>
      </c>
      <c r="W11">
        <v>865.74</v>
      </c>
      <c r="X11" t="s">
        <v>48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D7213-A77D-4218-B362-6041F2090479}">
  <sheetPr codeName="Sheet12"/>
  <dimension ref="A1:G4"/>
  <sheetViews>
    <sheetView workbookViewId="0">
      <selection activeCell="AB16" sqref="AB16"/>
    </sheetView>
  </sheetViews>
  <sheetFormatPr defaultRowHeight="14.5" x14ac:dyDescent="0.35"/>
  <cols>
    <col min="1" max="1" width="17.6328125" bestFit="1" customWidth="1"/>
    <col min="2" max="2" width="14.453125" bestFit="1" customWidth="1"/>
    <col min="3" max="3" width="12.26953125" bestFit="1" customWidth="1"/>
    <col min="4" max="4" width="14.26953125" bestFit="1" customWidth="1"/>
    <col min="5" max="5" width="18.90625" bestFit="1" customWidth="1"/>
    <col min="6" max="6" width="22.54296875" bestFit="1" customWidth="1"/>
    <col min="7" max="7" width="21.81640625" bestFit="1" customWidth="1"/>
  </cols>
  <sheetData>
    <row r="1" spans="1:7" x14ac:dyDescent="0.35">
      <c r="A1" t="s">
        <v>0</v>
      </c>
      <c r="B1" t="s">
        <v>1</v>
      </c>
      <c r="C1" t="s">
        <v>2</v>
      </c>
      <c r="D1" t="s">
        <v>3</v>
      </c>
      <c r="E1" t="s">
        <v>4</v>
      </c>
      <c r="F1" t="s">
        <v>5</v>
      </c>
      <c r="G1" t="s">
        <v>6</v>
      </c>
    </row>
    <row r="2" spans="1:7" x14ac:dyDescent="0.35">
      <c r="A2" t="s">
        <v>7</v>
      </c>
      <c r="B2">
        <v>4744557.5</v>
      </c>
      <c r="C2">
        <v>663778.73</v>
      </c>
      <c r="D2">
        <v>14</v>
      </c>
      <c r="E2">
        <v>37.53</v>
      </c>
      <c r="F2">
        <v>45.23</v>
      </c>
      <c r="G2">
        <v>7.7</v>
      </c>
    </row>
    <row r="3" spans="1:7" x14ac:dyDescent="0.35">
      <c r="A3" t="s">
        <v>8</v>
      </c>
      <c r="B3">
        <v>3787070.23</v>
      </c>
      <c r="C3">
        <v>518473.83</v>
      </c>
      <c r="D3">
        <v>14</v>
      </c>
      <c r="E3">
        <v>29.96</v>
      </c>
      <c r="F3">
        <v>35.33</v>
      </c>
      <c r="G3">
        <v>5.37</v>
      </c>
    </row>
    <row r="4" spans="1:7" x14ac:dyDescent="0.35">
      <c r="A4" t="s">
        <v>9</v>
      </c>
      <c r="B4">
        <v>4110874.19</v>
      </c>
      <c r="C4">
        <v>285204.71999999997</v>
      </c>
      <c r="D4">
        <v>7</v>
      </c>
      <c r="E4">
        <v>32.520000000000003</v>
      </c>
      <c r="F4">
        <v>19.440000000000001</v>
      </c>
      <c r="G4">
        <v>-13.08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0AA46-12BE-4D1A-8CFF-2CCB78FB96B6}">
  <sheetPr codeName="Sheet13"/>
  <dimension ref="B2:P28"/>
  <sheetViews>
    <sheetView showGridLines="0" zoomScale="51" zoomScaleNormal="55" workbookViewId="0">
      <selection activeCell="AB16" sqref="AB16"/>
    </sheetView>
  </sheetViews>
  <sheetFormatPr defaultRowHeight="18.5" x14ac:dyDescent="0.45"/>
  <cols>
    <col min="1" max="1" width="8.7265625" style="14"/>
    <col min="2" max="2" width="33.7265625" style="14" customWidth="1"/>
    <col min="3" max="3" width="3.81640625" style="14" customWidth="1"/>
    <col min="4" max="16384" width="8.7265625" style="14"/>
  </cols>
  <sheetData>
    <row r="2" spans="2:16" x14ac:dyDescent="0.45">
      <c r="B2" s="13"/>
      <c r="C2" s="13"/>
      <c r="D2" s="13"/>
      <c r="E2" s="13"/>
      <c r="F2" s="13"/>
      <c r="G2" s="13"/>
      <c r="H2" s="13"/>
      <c r="I2" s="13"/>
      <c r="J2" s="13"/>
      <c r="K2" s="13"/>
      <c r="L2" s="13"/>
      <c r="M2" s="13"/>
      <c r="N2" s="13"/>
      <c r="O2" s="13"/>
      <c r="P2" s="13"/>
    </row>
    <row r="3" spans="2:16" ht="20.5" x14ac:dyDescent="0.55000000000000004">
      <c r="B3" s="13"/>
      <c r="C3" s="13"/>
      <c r="D3" s="15" t="s">
        <v>197</v>
      </c>
      <c r="E3" s="13"/>
      <c r="F3" s="13"/>
      <c r="G3" s="13"/>
      <c r="H3" s="13"/>
      <c r="I3" s="13"/>
      <c r="J3" s="13"/>
      <c r="K3" s="13"/>
      <c r="L3" s="13"/>
      <c r="M3" s="13"/>
      <c r="N3" s="13"/>
      <c r="O3" s="13"/>
      <c r="P3" s="13"/>
    </row>
    <row r="4" spans="2:16" ht="7.5" customHeight="1" x14ac:dyDescent="0.45">
      <c r="B4" s="13"/>
      <c r="C4" s="13"/>
      <c r="D4" s="13"/>
      <c r="E4" s="13"/>
      <c r="F4" s="13"/>
      <c r="G4" s="13"/>
      <c r="H4" s="13"/>
      <c r="I4" s="13"/>
      <c r="J4" s="13"/>
      <c r="K4" s="13"/>
      <c r="L4" s="13"/>
      <c r="M4" s="13"/>
      <c r="N4" s="13"/>
      <c r="O4" s="13"/>
      <c r="P4" s="13"/>
    </row>
    <row r="5" spans="2:16" x14ac:dyDescent="0.45">
      <c r="B5" s="13"/>
      <c r="C5" s="13"/>
      <c r="D5" s="16" t="s">
        <v>204</v>
      </c>
      <c r="E5" s="13"/>
      <c r="F5" s="13"/>
      <c r="G5" s="13"/>
      <c r="H5" s="13"/>
      <c r="I5" s="13"/>
      <c r="J5" s="13"/>
      <c r="K5" s="13"/>
      <c r="L5" s="13"/>
      <c r="M5" s="13"/>
      <c r="N5" s="13"/>
      <c r="O5" s="13"/>
      <c r="P5" s="13"/>
    </row>
    <row r="6" spans="2:16" x14ac:dyDescent="0.45">
      <c r="B6" s="13"/>
      <c r="C6" s="13"/>
      <c r="D6" s="13"/>
      <c r="E6" s="13"/>
      <c r="F6" s="13"/>
      <c r="G6" s="13"/>
      <c r="H6" s="13"/>
      <c r="I6" s="13"/>
      <c r="J6" s="13"/>
      <c r="K6" s="13"/>
      <c r="L6" s="13"/>
      <c r="M6" s="13"/>
      <c r="N6" s="13"/>
      <c r="O6" s="13"/>
      <c r="P6" s="13"/>
    </row>
    <row r="8" spans="2:16" x14ac:dyDescent="0.45">
      <c r="B8" s="22"/>
      <c r="C8" s="22"/>
      <c r="D8" s="22"/>
      <c r="E8" s="22"/>
      <c r="F8" s="22"/>
      <c r="G8" s="22"/>
      <c r="H8" s="22"/>
      <c r="I8" s="22"/>
      <c r="J8" s="22"/>
      <c r="K8" s="22"/>
      <c r="L8" s="22"/>
      <c r="M8" s="22"/>
      <c r="N8" s="22"/>
      <c r="O8" s="22"/>
      <c r="P8" s="22"/>
    </row>
    <row r="9" spans="2:16" ht="16.5" customHeight="1" x14ac:dyDescent="0.55000000000000004">
      <c r="B9" s="17" t="s">
        <v>198</v>
      </c>
      <c r="C9" s="18"/>
      <c r="D9" s="147" t="s">
        <v>199</v>
      </c>
      <c r="E9" s="147"/>
      <c r="F9" s="147"/>
      <c r="G9" s="147"/>
      <c r="H9" s="147"/>
      <c r="I9" s="147"/>
      <c r="J9" s="147"/>
      <c r="K9" s="147"/>
      <c r="L9" s="147"/>
      <c r="M9" s="147"/>
      <c r="N9" s="147"/>
      <c r="O9" s="147"/>
      <c r="P9" s="148"/>
    </row>
    <row r="10" spans="2:16" ht="14.5" customHeight="1" x14ac:dyDescent="0.55000000000000004">
      <c r="B10" s="17"/>
      <c r="C10" s="18"/>
      <c r="D10" s="19"/>
      <c r="E10" s="19"/>
      <c r="F10" s="19"/>
      <c r="G10" s="19"/>
      <c r="H10" s="19"/>
      <c r="I10" s="19"/>
      <c r="J10" s="19"/>
      <c r="K10" s="19"/>
      <c r="L10" s="19"/>
      <c r="M10" s="19"/>
      <c r="N10" s="19"/>
      <c r="O10" s="19"/>
      <c r="P10" s="20"/>
    </row>
    <row r="11" spans="2:16" ht="14.5" customHeight="1" x14ac:dyDescent="0.55000000000000004">
      <c r="B11" s="17" t="s">
        <v>200</v>
      </c>
      <c r="C11" s="18"/>
      <c r="D11" s="157" t="s">
        <v>205</v>
      </c>
      <c r="E11" s="157"/>
      <c r="F11" s="157"/>
      <c r="G11" s="157"/>
      <c r="H11" s="157"/>
      <c r="I11" s="157"/>
      <c r="J11" s="157"/>
      <c r="K11" s="157"/>
      <c r="L11" s="157"/>
      <c r="M11" s="157"/>
      <c r="N11" s="157"/>
      <c r="O11" s="157"/>
      <c r="P11" s="158"/>
    </row>
    <row r="12" spans="2:16" ht="18.5" customHeight="1" x14ac:dyDescent="0.45">
      <c r="B12" s="21"/>
      <c r="C12" s="22"/>
      <c r="D12" s="157"/>
      <c r="E12" s="157"/>
      <c r="F12" s="157"/>
      <c r="G12" s="157"/>
      <c r="H12" s="157"/>
      <c r="I12" s="157"/>
      <c r="J12" s="157"/>
      <c r="K12" s="157"/>
      <c r="L12" s="157"/>
      <c r="M12" s="157"/>
      <c r="N12" s="157"/>
      <c r="O12" s="157"/>
      <c r="P12" s="158"/>
    </row>
    <row r="13" spans="2:16" ht="19" thickBot="1" x14ac:dyDescent="0.5">
      <c r="B13" s="23"/>
      <c r="C13" s="23"/>
      <c r="D13" s="23"/>
      <c r="E13" s="23"/>
      <c r="F13" s="23"/>
      <c r="G13" s="23"/>
      <c r="H13" s="23"/>
      <c r="I13" s="23"/>
      <c r="J13" s="23"/>
      <c r="K13" s="23"/>
      <c r="L13" s="23"/>
      <c r="M13" s="23"/>
      <c r="N13" s="23"/>
      <c r="O13" s="23"/>
      <c r="P13" s="23"/>
    </row>
    <row r="14" spans="2:16" ht="19.5" thickTop="1" thickBot="1" x14ac:dyDescent="0.5">
      <c r="B14" s="24"/>
      <c r="C14" s="25"/>
      <c r="D14" s="25"/>
      <c r="E14" s="25"/>
      <c r="F14" s="25"/>
      <c r="G14" s="25"/>
      <c r="H14" s="25"/>
      <c r="I14" s="25"/>
      <c r="J14" s="25"/>
      <c r="K14" s="25"/>
      <c r="L14" s="25"/>
      <c r="M14" s="25"/>
      <c r="N14" s="25"/>
      <c r="O14" s="25"/>
      <c r="P14" s="26"/>
    </row>
    <row r="15" spans="2:16" ht="21.5" thickTop="1" thickBot="1" x14ac:dyDescent="0.5">
      <c r="B15" s="27" t="s">
        <v>201</v>
      </c>
      <c r="C15" s="28"/>
      <c r="D15" s="149" t="s">
        <v>202</v>
      </c>
      <c r="E15" s="150"/>
      <c r="F15" s="28"/>
      <c r="G15" s="28"/>
      <c r="H15" s="28"/>
      <c r="I15" s="28"/>
      <c r="J15" s="28"/>
      <c r="K15" s="28"/>
      <c r="L15" s="28"/>
      <c r="M15" s="28"/>
      <c r="N15" s="28"/>
      <c r="O15" s="28"/>
      <c r="P15" s="29"/>
    </row>
    <row r="16" spans="2:16" ht="19" thickTop="1" x14ac:dyDescent="0.45">
      <c r="B16" s="30"/>
      <c r="C16" s="28"/>
      <c r="D16" s="28"/>
      <c r="E16" s="28"/>
      <c r="F16" s="28"/>
      <c r="G16" s="28"/>
      <c r="H16" s="28"/>
      <c r="I16" s="28"/>
      <c r="J16" s="28"/>
      <c r="K16" s="28"/>
      <c r="L16" s="28"/>
      <c r="M16" s="28"/>
      <c r="N16" s="28"/>
      <c r="O16" s="28"/>
      <c r="P16" s="29"/>
    </row>
    <row r="17" spans="2:16" x14ac:dyDescent="0.45">
      <c r="B17" s="151" t="s">
        <v>203</v>
      </c>
      <c r="C17" s="152"/>
      <c r="D17" s="152"/>
      <c r="E17" s="152"/>
      <c r="F17" s="152"/>
      <c r="G17" s="152"/>
      <c r="H17" s="152"/>
      <c r="I17" s="152"/>
      <c r="J17" s="152"/>
      <c r="K17" s="152"/>
      <c r="L17" s="152"/>
      <c r="M17" s="152"/>
      <c r="N17" s="152"/>
      <c r="O17" s="152"/>
      <c r="P17" s="153"/>
    </row>
    <row r="18" spans="2:16" x14ac:dyDescent="0.45">
      <c r="B18" s="151"/>
      <c r="C18" s="152"/>
      <c r="D18" s="152"/>
      <c r="E18" s="152"/>
      <c r="F18" s="152"/>
      <c r="G18" s="152"/>
      <c r="H18" s="152"/>
      <c r="I18" s="152"/>
      <c r="J18" s="152"/>
      <c r="K18" s="152"/>
      <c r="L18" s="152"/>
      <c r="M18" s="152"/>
      <c r="N18" s="152"/>
      <c r="O18" s="152"/>
      <c r="P18" s="153"/>
    </row>
    <row r="19" spans="2:16" x14ac:dyDescent="0.45">
      <c r="B19" s="151"/>
      <c r="C19" s="152"/>
      <c r="D19" s="152"/>
      <c r="E19" s="152"/>
      <c r="F19" s="152"/>
      <c r="G19" s="152"/>
      <c r="H19" s="152"/>
      <c r="I19" s="152"/>
      <c r="J19" s="152"/>
      <c r="K19" s="152"/>
      <c r="L19" s="152"/>
      <c r="M19" s="152"/>
      <c r="N19" s="152"/>
      <c r="O19" s="152"/>
      <c r="P19" s="153"/>
    </row>
    <row r="20" spans="2:16" x14ac:dyDescent="0.45">
      <c r="B20" s="151"/>
      <c r="C20" s="152"/>
      <c r="D20" s="152"/>
      <c r="E20" s="152"/>
      <c r="F20" s="152"/>
      <c r="G20" s="152"/>
      <c r="H20" s="152"/>
      <c r="I20" s="152"/>
      <c r="J20" s="152"/>
      <c r="K20" s="152"/>
      <c r="L20" s="152"/>
      <c r="M20" s="152"/>
      <c r="N20" s="152"/>
      <c r="O20" s="152"/>
      <c r="P20" s="153"/>
    </row>
    <row r="21" spans="2:16" x14ac:dyDescent="0.45">
      <c r="B21" s="151"/>
      <c r="C21" s="152"/>
      <c r="D21" s="152"/>
      <c r="E21" s="152"/>
      <c r="F21" s="152"/>
      <c r="G21" s="152"/>
      <c r="H21" s="152"/>
      <c r="I21" s="152"/>
      <c r="J21" s="152"/>
      <c r="K21" s="152"/>
      <c r="L21" s="152"/>
      <c r="M21" s="152"/>
      <c r="N21" s="152"/>
      <c r="O21" s="152"/>
      <c r="P21" s="153"/>
    </row>
    <row r="22" spans="2:16" x14ac:dyDescent="0.45">
      <c r="B22" s="151"/>
      <c r="C22" s="152"/>
      <c r="D22" s="152"/>
      <c r="E22" s="152"/>
      <c r="F22" s="152"/>
      <c r="G22" s="152"/>
      <c r="H22" s="152"/>
      <c r="I22" s="152"/>
      <c r="J22" s="152"/>
      <c r="K22" s="152"/>
      <c r="L22" s="152"/>
      <c r="M22" s="152"/>
      <c r="N22" s="152"/>
      <c r="O22" s="152"/>
      <c r="P22" s="153"/>
    </row>
    <row r="23" spans="2:16" x14ac:dyDescent="0.45">
      <c r="B23" s="151"/>
      <c r="C23" s="152"/>
      <c r="D23" s="152"/>
      <c r="E23" s="152"/>
      <c r="F23" s="152"/>
      <c r="G23" s="152"/>
      <c r="H23" s="152"/>
      <c r="I23" s="152"/>
      <c r="J23" s="152"/>
      <c r="K23" s="152"/>
      <c r="L23" s="152"/>
      <c r="M23" s="152"/>
      <c r="N23" s="152"/>
      <c r="O23" s="152"/>
      <c r="P23" s="153"/>
    </row>
    <row r="24" spans="2:16" x14ac:dyDescent="0.45">
      <c r="B24" s="151"/>
      <c r="C24" s="152"/>
      <c r="D24" s="152"/>
      <c r="E24" s="152"/>
      <c r="F24" s="152"/>
      <c r="G24" s="152"/>
      <c r="H24" s="152"/>
      <c r="I24" s="152"/>
      <c r="J24" s="152"/>
      <c r="K24" s="152"/>
      <c r="L24" s="152"/>
      <c r="M24" s="152"/>
      <c r="N24" s="152"/>
      <c r="O24" s="152"/>
      <c r="P24" s="153"/>
    </row>
    <row r="25" spans="2:16" x14ac:dyDescent="0.45">
      <c r="B25" s="151"/>
      <c r="C25" s="152"/>
      <c r="D25" s="152"/>
      <c r="E25" s="152"/>
      <c r="F25" s="152"/>
      <c r="G25" s="152"/>
      <c r="H25" s="152"/>
      <c r="I25" s="152"/>
      <c r="J25" s="152"/>
      <c r="K25" s="152"/>
      <c r="L25" s="152"/>
      <c r="M25" s="152"/>
      <c r="N25" s="152"/>
      <c r="O25" s="152"/>
      <c r="P25" s="153"/>
    </row>
    <row r="26" spans="2:16" x14ac:dyDescent="0.45">
      <c r="B26" s="151"/>
      <c r="C26" s="152"/>
      <c r="D26" s="152"/>
      <c r="E26" s="152"/>
      <c r="F26" s="152"/>
      <c r="G26" s="152"/>
      <c r="H26" s="152"/>
      <c r="I26" s="152"/>
      <c r="J26" s="152"/>
      <c r="K26" s="152"/>
      <c r="L26" s="152"/>
      <c r="M26" s="152"/>
      <c r="N26" s="152"/>
      <c r="O26" s="152"/>
      <c r="P26" s="153"/>
    </row>
    <row r="27" spans="2:16" ht="19" thickBot="1" x14ac:dyDescent="0.5">
      <c r="B27" s="154"/>
      <c r="C27" s="155"/>
      <c r="D27" s="155"/>
      <c r="E27" s="155"/>
      <c r="F27" s="155"/>
      <c r="G27" s="155"/>
      <c r="H27" s="155"/>
      <c r="I27" s="155"/>
      <c r="J27" s="155"/>
      <c r="K27" s="155"/>
      <c r="L27" s="155"/>
      <c r="M27" s="155"/>
      <c r="N27" s="155"/>
      <c r="O27" s="155"/>
      <c r="P27" s="156"/>
    </row>
    <row r="28" spans="2:16" ht="19" thickTop="1" x14ac:dyDescent="0.45">
      <c r="B28" s="23"/>
      <c r="C28" s="23"/>
      <c r="D28" s="23"/>
      <c r="E28" s="23"/>
      <c r="F28" s="23"/>
      <c r="G28" s="23"/>
      <c r="H28" s="23"/>
      <c r="I28" s="23"/>
      <c r="J28" s="23"/>
      <c r="K28" s="23"/>
      <c r="L28" s="23"/>
      <c r="M28" s="23"/>
      <c r="N28" s="23"/>
      <c r="O28" s="23"/>
      <c r="P28" s="23"/>
    </row>
  </sheetData>
  <mergeCells count="4">
    <mergeCell ref="D9:P9"/>
    <mergeCell ref="D15:E15"/>
    <mergeCell ref="B17:P27"/>
    <mergeCell ref="D11:P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BC95BD-E87C-42D3-A29B-5E8075264B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Inputs</vt:lpstr>
      <vt:lpstr>P&amp;L</vt:lpstr>
      <vt:lpstr>Dashboard</vt:lpstr>
      <vt:lpstr>Dashboard 2</vt:lpstr>
      <vt:lpstr>09_unit_economics_diagnostic</vt:lpstr>
      <vt:lpstr>08_discount</vt:lpstr>
      <vt:lpstr>07_profit_analysis</vt:lpstr>
      <vt:lpstr>06_customer_segment_analysis</vt:lpstr>
      <vt:lpstr>05_regional_analysis</vt:lpstr>
      <vt:lpstr>04_product_subcategory_analysis</vt:lpstr>
      <vt:lpstr>03_cateogry_analysis</vt:lpstr>
      <vt:lpstr>02_analysis_time_series</vt:lpstr>
      <vt:lpstr>10_analysis_time_series_categor</vt:lpstr>
      <vt:lpstr>01_data_validation</vt:lpstr>
      <vt:lpstr>processed</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KENNETH (Student)</dc:creator>
  <cp:lastModifiedBy>CHRISTOPHER, KENNETH (Student)</cp:lastModifiedBy>
  <dcterms:created xsi:type="dcterms:W3CDTF">2026-04-13T13:32:35Z</dcterms:created>
  <dcterms:modified xsi:type="dcterms:W3CDTF">2026-05-01T12:25:28Z</dcterms:modified>
</cp:coreProperties>
</file>